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"/>
    </mc:Choice>
  </mc:AlternateContent>
  <xr:revisionPtr revIDLastSave="0" documentId="8_{1443C29C-0C36-4621-A12F-EFB905C5C0E6}" xr6:coauthVersionLast="47" xr6:coauthVersionMax="47" xr10:uidLastSave="{00000000-0000-0000-0000-000000000000}"/>
  <bookViews>
    <workbookView xWindow="-120" yWindow="-120" windowWidth="20730" windowHeight="11040" xr2:uid="{075D5F66-602E-49E0-9DEF-920C80009126}"/>
  </bookViews>
  <sheets>
    <sheet name="Practical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18" i="1"/>
  <c r="B17" i="1"/>
  <c r="B16" i="1"/>
  <c r="B13" i="1"/>
  <c r="B12" i="1"/>
  <c r="B11" i="1"/>
  <c r="B10" i="1"/>
  <c r="B9" i="1"/>
  <c r="B6" i="1"/>
  <c r="B5" i="1"/>
  <c r="B4" i="1"/>
  <c r="B3" i="1"/>
</calcChain>
</file>

<file path=xl/sharedStrings.xml><?xml version="1.0" encoding="utf-8"?>
<sst xmlns="http://schemas.openxmlformats.org/spreadsheetml/2006/main" count="41" uniqueCount="35">
  <si>
    <t xml:space="preserve">Poisson Distribution </t>
  </si>
  <si>
    <t>Q79- (lmda=1)</t>
  </si>
  <si>
    <t>ANS</t>
  </si>
  <si>
    <t>Formula (POISSON.DIST(X,LAMDA,T/F))</t>
  </si>
  <si>
    <t>(a)P(X&lt;=5)</t>
  </si>
  <si>
    <t>POISSON.DIST(5,1,1)</t>
  </si>
  <si>
    <t>(b)P(X=2)</t>
  </si>
  <si>
    <t>POISSON.DIST(2,1,0)</t>
  </si>
  <si>
    <t>C)P(2&lt;=X&lt;=4)</t>
  </si>
  <si>
    <t>POISSON.DIST(4,1,1)-POISSON.DIST(1,1,1)</t>
  </si>
  <si>
    <t>(D)P(X&gt;=2)</t>
  </si>
  <si>
    <t>1-POISSON.DIST(2,1,1)</t>
  </si>
  <si>
    <t>Q80- (lmda=4)</t>
  </si>
  <si>
    <t>a)P(X&lt;=4)</t>
  </si>
  <si>
    <t>POISSON.DIST(4,4,1)</t>
  </si>
  <si>
    <t>P(X&lt;4)</t>
  </si>
  <si>
    <t>POISSON.DIST(4,4,1)-POISSON.DIST(4,4,0)</t>
  </si>
  <si>
    <t>B)P(4&lt;=X&lt;=8)</t>
  </si>
  <si>
    <t>POISSON.DIST(8,4,1)-POISSON.DIST(3,4,1)</t>
  </si>
  <si>
    <t>C)P(8&lt;=X)</t>
  </si>
  <si>
    <t>1-POISSON.DIST(7,4,1)</t>
  </si>
  <si>
    <t>d)P(4&lt;X&lt;=6)</t>
  </si>
  <si>
    <t>POISSON.DIST(6,4,1)-POISSON.DIST(4,4,1)</t>
  </si>
  <si>
    <t>Q82- (lmda=0.2)</t>
  </si>
  <si>
    <t>a)P(X=1)</t>
  </si>
  <si>
    <t>POISSON.DIST(1,0.2,0)</t>
  </si>
  <si>
    <t>B)P(2&lt;=X)</t>
  </si>
  <si>
    <t>1-POISSON.DIST(1,0.2,1)</t>
  </si>
  <si>
    <t>C)P(X=0)</t>
  </si>
  <si>
    <t>POISSON.DIST(0,0.2,0)*POISSON.DIST(0,0.2,0)</t>
  </si>
  <si>
    <t>Q83- (lmda=5)</t>
  </si>
  <si>
    <t>a)P(5&lt;=X&lt;=8)</t>
  </si>
  <si>
    <t>POISSON.DIST(8,5,1)-POISSON.DIST(4,5,1)</t>
  </si>
  <si>
    <t>B)P(8&lt;=X)</t>
  </si>
  <si>
    <t>1-POISSON.DIST(7,5,1)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</si>
</sst>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57DA-1327-4869-97EF-6985B5417A8F}">
  <dimension ref="A1:C22"/>
  <sheetViews>
    <sheetView tabSelected="1" zoomScaleNormal="100" workbookViewId="0">
      <selection activeCell="C5" sqref="C5"/>
    </sheetView>
  </sheetViews>
  <sheetFormatPr defaultRowHeight="15" x14ac:dyDescent="0.25"/>
  <cols>
    <col min="1" max="1" width="21" customWidth="1"/>
    <col min="2" max="2" width="18.42578125" customWidth="1"/>
    <col min="3" max="3" width="43.5703125" customWidth="1"/>
  </cols>
  <sheetData>
    <row r="1" spans="1:3" ht="19.5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3">
        <f>_xlfn.POISSON.DIST(5,1,1)</f>
        <v>0.99940581518241833</v>
      </c>
      <c r="C3" s="4" t="s">
        <v>5</v>
      </c>
    </row>
    <row r="4" spans="1:3" x14ac:dyDescent="0.25">
      <c r="A4" s="3" t="s">
        <v>6</v>
      </c>
      <c r="B4" s="3">
        <f>_xlfn.POISSON.DIST(2,1,0)</f>
        <v>0.18393972058572114</v>
      </c>
      <c r="C4" s="4" t="s">
        <v>7</v>
      </c>
    </row>
    <row r="5" spans="1:3" x14ac:dyDescent="0.25">
      <c r="A5" s="3" t="s">
        <v>8</v>
      </c>
      <c r="B5" s="3">
        <f>_xlfn.POISSON.DIST(4,1,1)-_xlfn.POISSON.DIST(1,1,1)</f>
        <v>0.26058127082977156</v>
      </c>
      <c r="C5" s="4" t="s">
        <v>9</v>
      </c>
    </row>
    <row r="6" spans="1:3" x14ac:dyDescent="0.25">
      <c r="A6" s="3" t="s">
        <v>10</v>
      </c>
      <c r="B6" s="3">
        <f>1-_xlfn.POISSON.DIST(2,1,1)</f>
        <v>8.0301397071394165E-2</v>
      </c>
      <c r="C6" s="4" t="s">
        <v>11</v>
      </c>
    </row>
    <row r="7" spans="1:3" ht="21" customHeight="1" x14ac:dyDescent="0.25"/>
    <row r="8" spans="1:3" x14ac:dyDescent="0.25">
      <c r="A8" s="2" t="s">
        <v>12</v>
      </c>
      <c r="B8" s="2" t="s">
        <v>2</v>
      </c>
      <c r="C8" s="2" t="s">
        <v>3</v>
      </c>
    </row>
    <row r="9" spans="1:3" x14ac:dyDescent="0.25">
      <c r="A9" s="3" t="s">
        <v>13</v>
      </c>
      <c r="B9" s="3">
        <f>_xlfn.POISSON.DIST(4,4,1)</f>
        <v>0.62883693517987349</v>
      </c>
      <c r="C9" s="5" t="s">
        <v>14</v>
      </c>
    </row>
    <row r="10" spans="1:3" x14ac:dyDescent="0.25">
      <c r="A10" s="3" t="s">
        <v>15</v>
      </c>
      <c r="B10" s="3">
        <f>_xlfn.POISSON.DIST(4,4,1)-_xlfn.POISSON.DIST(4,4,0)</f>
        <v>0.43347012036670884</v>
      </c>
      <c r="C10" s="5" t="s">
        <v>16</v>
      </c>
    </row>
    <row r="11" spans="1:3" x14ac:dyDescent="0.25">
      <c r="A11" s="3" t="s">
        <v>17</v>
      </c>
      <c r="B11" s="3">
        <f>_xlfn.POISSON.DIST(8,4,1)-_xlfn.POISSON.DIST(3,4,1)</f>
        <v>0.54516644514530688</v>
      </c>
      <c r="C11" s="5" t="s">
        <v>18</v>
      </c>
    </row>
    <row r="12" spans="1:3" x14ac:dyDescent="0.25">
      <c r="A12" s="3" t="s">
        <v>19</v>
      </c>
      <c r="B12" s="3">
        <f>1-_xlfn.POISSON.DIST(7,4,1)</f>
        <v>5.1133615792847364E-2</v>
      </c>
      <c r="C12" s="5" t="s">
        <v>20</v>
      </c>
    </row>
    <row r="13" spans="1:3" x14ac:dyDescent="0.25">
      <c r="A13" s="3" t="s">
        <v>21</v>
      </c>
      <c r="B13" s="3">
        <f>_xlfn.POISSON.DIST(6,4,1)-_xlfn.POISSON.DIST(4,4,1)</f>
        <v>0.26048908641755275</v>
      </c>
      <c r="C13" s="5" t="s">
        <v>22</v>
      </c>
    </row>
    <row r="14" spans="1:3" ht="22.5" customHeight="1" x14ac:dyDescent="0.25"/>
    <row r="15" spans="1:3" x14ac:dyDescent="0.25">
      <c r="A15" s="2" t="s">
        <v>23</v>
      </c>
      <c r="B15" s="2" t="s">
        <v>2</v>
      </c>
      <c r="C15" s="2" t="s">
        <v>3</v>
      </c>
    </row>
    <row r="16" spans="1:3" x14ac:dyDescent="0.25">
      <c r="A16" s="3" t="s">
        <v>24</v>
      </c>
      <c r="B16" s="3">
        <f>_xlfn.POISSON.DIST(1,0.2,0)</f>
        <v>0.16374615061559639</v>
      </c>
      <c r="C16" s="4" t="s">
        <v>25</v>
      </c>
    </row>
    <row r="17" spans="1:3" x14ac:dyDescent="0.25">
      <c r="A17" s="3" t="s">
        <v>26</v>
      </c>
      <c r="B17" s="3">
        <f>1-_xlfn.POISSON.DIST(1,0.2,1)</f>
        <v>1.7523096306421793E-2</v>
      </c>
      <c r="C17" s="4" t="s">
        <v>27</v>
      </c>
    </row>
    <row r="18" spans="1:3" x14ac:dyDescent="0.25">
      <c r="A18" s="3" t="s">
        <v>28</v>
      </c>
      <c r="B18" s="3">
        <f>_xlfn.POISSON.DIST(0,0.2,0)*_xlfn.POISSON.DIST(0,0.2,0)</f>
        <v>0.67032004603563922</v>
      </c>
      <c r="C18" s="4" t="s">
        <v>29</v>
      </c>
    </row>
    <row r="19" spans="1:3" ht="23.25" customHeight="1" x14ac:dyDescent="0.25"/>
    <row r="20" spans="1:3" x14ac:dyDescent="0.25">
      <c r="A20" s="2" t="s">
        <v>30</v>
      </c>
      <c r="B20" s="2" t="s">
        <v>2</v>
      </c>
      <c r="C20" s="2" t="s">
        <v>3</v>
      </c>
    </row>
    <row r="21" spans="1:3" x14ac:dyDescent="0.25">
      <c r="A21" s="3" t="s">
        <v>31</v>
      </c>
      <c r="B21" s="3">
        <f>_xlfn.POISSON.DIST(8,5,1)-_xlfn.POISSON.DIST(4,5,1)</f>
        <v>0.49141308021293906</v>
      </c>
      <c r="C21" s="4" t="s">
        <v>32</v>
      </c>
    </row>
    <row r="22" spans="1:3" x14ac:dyDescent="0.25">
      <c r="A22" s="3" t="s">
        <v>33</v>
      </c>
      <c r="B22" s="3">
        <f>1-_xlfn.POISSON.DIST(7,5,1)</f>
        <v>0.13337167407000727</v>
      </c>
      <c r="C22" s="4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2026-03-03T09:26:18Z</dcterms:created>
  <dcterms:modified xsi:type="dcterms:W3CDTF">2026-03-03T09:28:25Z</dcterms:modified>
</cp:coreProperties>
</file>