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13_ncr:1_{BB8CF6D3-E716-48AF-A17A-A1602E9CC82A}" xr6:coauthVersionLast="47" xr6:coauthVersionMax="47" xr10:uidLastSave="{00000000-0000-0000-0000-000000000000}"/>
  <bookViews>
    <workbookView xWindow="-120" yWindow="-120" windowWidth="20730" windowHeight="11040" xr2:uid="{63647D24-690F-40DD-BBBB-8725C636B032}"/>
  </bookViews>
  <sheets>
    <sheet name="Practical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B7" i="1"/>
  <c r="B6" i="1"/>
  <c r="B5" i="1"/>
  <c r="B4" i="1"/>
</calcChain>
</file>

<file path=xl/sharedStrings.xml><?xml version="1.0" encoding="utf-8"?>
<sst xmlns="http://schemas.openxmlformats.org/spreadsheetml/2006/main" count="26" uniqueCount="24">
  <si>
    <t>Binomial Distribution</t>
  </si>
  <si>
    <t>Note:- Exact =&gt;P(X=K), Atleast =&gt;P(X&gt;=K), Atmost =&gt;P(X&lt;=K)</t>
  </si>
  <si>
    <t>Q46-Find binomial probability of following:  b(x,n,p)</t>
  </si>
  <si>
    <t>Formula  (BINOM.DIST(x,n,p,T/F)</t>
  </si>
  <si>
    <t>(a) b(3;8,0.35)</t>
  </si>
  <si>
    <t>BINOM.DIST(3,8,0.35,0)</t>
  </si>
  <si>
    <t>(b) b(5;8,0.6)</t>
  </si>
  <si>
    <t>BINOM.DIST(5,8,0.6,0)</t>
  </si>
  <si>
    <t>(c) P(3&lt;=X&lt;=5),n=7,p=0.6</t>
  </si>
  <si>
    <t>BINOM.DIST(5,7,0.6,1)-BINOM.DIST(2,7,0.6,1)</t>
  </si>
  <si>
    <t>(d) P(1&lt;=X),n=9,p=0.1</t>
  </si>
  <si>
    <t>1-BINOM.DIST(0,9,0.1,1)</t>
  </si>
  <si>
    <t>Q47-Find probability of the following: b(x,15,p), p=0.7, q=0.3</t>
  </si>
  <si>
    <t>(a) P(X&lt;=4)</t>
  </si>
  <si>
    <t>BINOM.DIST(4,15,0.7,1)</t>
  </si>
  <si>
    <t>(b) P(X=4)</t>
  </si>
  <si>
    <t>BINOM.DIST(4,15,0.7,0)</t>
  </si>
  <si>
    <t>(c) P(X=6) (for q)</t>
  </si>
  <si>
    <t>BINOM.DIST(6,15,0.3,0)</t>
  </si>
  <si>
    <t>(d) P(2&lt;=X&lt;=4)</t>
  </si>
  <si>
    <t>BINOM.DIST(4,15,0.7,1)-BINOM.DIST(1,15,0.7,1)</t>
  </si>
  <si>
    <t>(e) P(2&lt;=X)</t>
  </si>
  <si>
    <t>1-BINOM.DIST(1,15,0.7,1)</t>
  </si>
  <si>
    <t>(f) similar to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</si>
</sst>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B6C3-9F5B-427B-A9D3-ADD4579F8579}">
  <dimension ref="A1:C15"/>
  <sheetViews>
    <sheetView tabSelected="1" workbookViewId="0">
      <selection activeCell="B14" sqref="B14"/>
    </sheetView>
  </sheetViews>
  <sheetFormatPr defaultRowHeight="15" x14ac:dyDescent="0.25"/>
  <cols>
    <col min="1" max="1" width="23.28515625" customWidth="1"/>
    <col min="2" max="2" width="25.85546875" customWidth="1"/>
    <col min="3" max="3" width="43.42578125" customWidth="1"/>
  </cols>
  <sheetData>
    <row r="1" spans="1:3" ht="19.5" x14ac:dyDescent="0.25">
      <c r="A1" s="5" t="s">
        <v>0</v>
      </c>
      <c r="B1" s="5"/>
      <c r="C1" s="5"/>
    </row>
    <row r="2" spans="1:3" x14ac:dyDescent="0.25">
      <c r="A2" s="9" t="s">
        <v>1</v>
      </c>
      <c r="B2" s="9"/>
      <c r="C2" s="9"/>
    </row>
    <row r="3" spans="1:3" ht="22.5" customHeight="1" x14ac:dyDescent="0.25">
      <c r="A3" s="6" t="s">
        <v>2</v>
      </c>
      <c r="B3" s="7"/>
      <c r="C3" s="1" t="s">
        <v>3</v>
      </c>
    </row>
    <row r="4" spans="1:3" x14ac:dyDescent="0.25">
      <c r="A4" s="2" t="s">
        <v>4</v>
      </c>
      <c r="B4" s="2">
        <f>_xlfn.BINOM.DIST(3,8,0.35,0)</f>
        <v>0.27858577906249998</v>
      </c>
      <c r="C4" s="3" t="s">
        <v>5</v>
      </c>
    </row>
    <row r="5" spans="1:3" x14ac:dyDescent="0.25">
      <c r="A5" s="2" t="s">
        <v>6</v>
      </c>
      <c r="B5" s="2">
        <f>_xlfn.BINOM.DIST(5,8,0.6,0)</f>
        <v>0.27869184000000002</v>
      </c>
      <c r="C5" s="3" t="s">
        <v>7</v>
      </c>
    </row>
    <row r="6" spans="1:3" x14ac:dyDescent="0.25">
      <c r="A6" s="2" t="s">
        <v>8</v>
      </c>
      <c r="B6" s="2">
        <f>_xlfn.BINOM.DIST(5,7,0.6,1)-_xlfn.BINOM.DIST(2,7,0.6,1)</f>
        <v>0.74511360000000004</v>
      </c>
      <c r="C6" s="3" t="s">
        <v>9</v>
      </c>
    </row>
    <row r="7" spans="1:3" x14ac:dyDescent="0.25">
      <c r="A7" s="2" t="s">
        <v>10</v>
      </c>
      <c r="B7" s="2">
        <f>1-_xlfn.BINOM.DIST(0,9,0.1,1)</f>
        <v>0.61257951100000008</v>
      </c>
      <c r="C7" s="3" t="s">
        <v>11</v>
      </c>
    </row>
    <row r="8" spans="1:3" ht="21" customHeight="1" x14ac:dyDescent="0.25"/>
    <row r="9" spans="1:3" x14ac:dyDescent="0.25">
      <c r="A9" s="8" t="s">
        <v>12</v>
      </c>
      <c r="B9" s="8"/>
      <c r="C9" s="1" t="s">
        <v>3</v>
      </c>
    </row>
    <row r="10" spans="1:3" x14ac:dyDescent="0.25">
      <c r="A10" s="2" t="s">
        <v>13</v>
      </c>
      <c r="B10" s="2">
        <f>_xlfn.BINOM.DIST(4,15,0.7,1)</f>
        <v>6.7223406980700074E-4</v>
      </c>
      <c r="C10" s="4" t="s">
        <v>14</v>
      </c>
    </row>
    <row r="11" spans="1:3" x14ac:dyDescent="0.25">
      <c r="A11" s="2" t="s">
        <v>15</v>
      </c>
      <c r="B11" s="2">
        <f>_xlfn.BINOM.DIST(4,15,0.7,0)</f>
        <v>5.8057537765500173E-4</v>
      </c>
      <c r="C11" s="4" t="s">
        <v>16</v>
      </c>
    </row>
    <row r="12" spans="1:3" x14ac:dyDescent="0.25">
      <c r="A12" s="2" t="s">
        <v>17</v>
      </c>
      <c r="B12" s="2">
        <f>_xlfn.BINOM.DIST(6,15,0.3,0)</f>
        <v>0.14723598641251498</v>
      </c>
      <c r="C12" s="4" t="s">
        <v>18</v>
      </c>
    </row>
    <row r="13" spans="1:3" x14ac:dyDescent="0.25">
      <c r="A13" s="2" t="s">
        <v>19</v>
      </c>
      <c r="B13" s="2">
        <f>_xlfn.BINOM.DIST(4,15,0.7,1)-_xlfn.BINOM.DIST(1,15,0.7,1)</f>
        <v>6.7171750915500077E-4</v>
      </c>
      <c r="C13" s="4" t="s">
        <v>20</v>
      </c>
    </row>
    <row r="14" spans="1:3" x14ac:dyDescent="0.25">
      <c r="A14" s="2" t="s">
        <v>21</v>
      </c>
      <c r="B14" s="2">
        <f>1-_xlfn.BINOM.DIST(1,15,0.7,1)</f>
        <v>0.99999948343934797</v>
      </c>
      <c r="C14" s="4" t="s">
        <v>22</v>
      </c>
    </row>
    <row r="15" spans="1:3" x14ac:dyDescent="0.25">
      <c r="A15" s="2" t="s">
        <v>23</v>
      </c>
      <c r="B15" s="2">
        <f>_xlfn.BINOM.DIST(4,15,0.7,0)</f>
        <v>5.8057537765500173E-4</v>
      </c>
      <c r="C15" s="4" t="s">
        <v>16</v>
      </c>
    </row>
  </sheetData>
  <mergeCells count="4">
    <mergeCell ref="A1:C1"/>
    <mergeCell ref="A2:C2"/>
    <mergeCell ref="A3:B3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2026-03-03T09:23:06Z</dcterms:created>
  <dcterms:modified xsi:type="dcterms:W3CDTF">2026-03-03T09:32:05Z</dcterms:modified>
</cp:coreProperties>
</file>