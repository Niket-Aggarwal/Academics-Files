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Bsc hons cs\SEM-2\PFC\"/>
    </mc:Choice>
  </mc:AlternateContent>
  <xr:revisionPtr revIDLastSave="0" documentId="13_ncr:1_{857191DF-9DCF-4D53-827D-21E6094580E1}" xr6:coauthVersionLast="47" xr6:coauthVersionMax="47" xr10:uidLastSave="{00000000-0000-0000-0000-000000000000}"/>
  <bookViews>
    <workbookView xWindow="-120" yWindow="-120" windowWidth="20730" windowHeight="11040" xr2:uid="{699E17AB-8852-487D-892D-F29BB48EACD1}"/>
  </bookViews>
  <sheets>
    <sheet name="Practical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1" l="1"/>
  <c r="C33" i="1"/>
  <c r="F32" i="1"/>
  <c r="F31" i="1"/>
  <c r="F30" i="1"/>
  <c r="F29" i="1"/>
  <c r="F28" i="1"/>
  <c r="F34" i="1" s="1"/>
  <c r="F23" i="1"/>
  <c r="C23" i="1"/>
  <c r="F22" i="1"/>
  <c r="F21" i="1"/>
  <c r="F20" i="1"/>
  <c r="F19" i="1"/>
  <c r="F24" i="1" s="1"/>
  <c r="C15" i="1"/>
  <c r="C12" i="1"/>
  <c r="F10" i="1"/>
  <c r="C14" i="1" s="1"/>
  <c r="F9" i="1"/>
  <c r="C13" i="1" s="1"/>
  <c r="F12" i="1" l="1"/>
</calcChain>
</file>

<file path=xl/sharedStrings.xml><?xml version="1.0" encoding="utf-8"?>
<sst xmlns="http://schemas.openxmlformats.org/spreadsheetml/2006/main" count="81" uniqueCount="64">
  <si>
    <t>Multinomial distribution</t>
  </si>
  <si>
    <t>1) It is the generalization of binomial distribution to 2 and more events it has following properties:-</t>
  </si>
  <si>
    <t>1.1) It consist of n independt trials.</t>
  </si>
  <si>
    <t>1.2) Each trial have K mutually exculsive outcomes of event Ei have propba P(Ei).</t>
  </si>
  <si>
    <t>1.3) Let x1,x2,…,xk are discrete random variables than the PMF of given random variable is given by ((n!/(x1!*x2!*…*xk!))*p1^x1*p2^x2…*pk^xk).</t>
  </si>
  <si>
    <t>1. Suppose a bag contains 8 balls out of which 3 are red, 1 is green and rest are blue a ball is drawn and we put the ball back  and then again drawn this is repeated 10 time. What is the probability of outcome  4 red and 6 blue.</t>
  </si>
  <si>
    <t>ANS</t>
  </si>
  <si>
    <t>Red needed</t>
  </si>
  <si>
    <t>x1</t>
  </si>
  <si>
    <t>P(Red)</t>
  </si>
  <si>
    <t>p1</t>
  </si>
  <si>
    <t>Green needed</t>
  </si>
  <si>
    <t>x2</t>
  </si>
  <si>
    <t>P(Green)</t>
  </si>
  <si>
    <t>p2</t>
  </si>
  <si>
    <t>Blue needed</t>
  </si>
  <si>
    <t>x3</t>
  </si>
  <si>
    <t>P(Blue)</t>
  </si>
  <si>
    <t>p3</t>
  </si>
  <si>
    <t>Multinomial</t>
  </si>
  <si>
    <t>MULTINOMIAL(C9:C11)</t>
  </si>
  <si>
    <t>P(of Outcome)</t>
  </si>
  <si>
    <t>PRODUCT(C12:C15)</t>
  </si>
  <si>
    <t>p1^x1</t>
  </si>
  <si>
    <t>F9^C9</t>
  </si>
  <si>
    <t>p2^x2</t>
  </si>
  <si>
    <t>F10^C10</t>
  </si>
  <si>
    <t>p3^x3</t>
  </si>
  <si>
    <t>F11^C11</t>
  </si>
  <si>
    <t>2. You are randomly drawing cards from an ordinary deck of cards. Every time you pick one, you place it back in the deck. You do this 5 times. What is the probability of drawing 1 heart, 1 spade, 1 club, and 2 diamonds?</t>
  </si>
  <si>
    <t>Heart needed</t>
  </si>
  <si>
    <t>X1</t>
  </si>
  <si>
    <t>MULTINOMIAL(C19:C22)</t>
  </si>
  <si>
    <t>Spade needed</t>
  </si>
  <si>
    <t>X2</t>
  </si>
  <si>
    <t>P^X1</t>
  </si>
  <si>
    <t>$C$23^C19</t>
  </si>
  <si>
    <t>Club needed</t>
  </si>
  <si>
    <t>X3</t>
  </si>
  <si>
    <t>P^X2</t>
  </si>
  <si>
    <t>$C$23^C20</t>
  </si>
  <si>
    <t>Diamond needed</t>
  </si>
  <si>
    <t>X4</t>
  </si>
  <si>
    <t>P^X3</t>
  </si>
  <si>
    <t>$C$23^C21</t>
  </si>
  <si>
    <t>P(Card Drawn)</t>
  </si>
  <si>
    <t>P</t>
  </si>
  <si>
    <t>P^X4</t>
  </si>
  <si>
    <t>$C$23^C22</t>
  </si>
  <si>
    <t>PRODUCT(F19:F23)</t>
  </si>
  <si>
    <t>3. When spinning a spinner, there is an equal chance of landing on orange, green, yellow, red, and black. Suppose you spin the spinner 12 times. What is the probability of landing of orange 2 times, green 3 times, yellow 2 times, red 3 times, and black 2 times?</t>
  </si>
  <si>
    <t>Orange needed</t>
  </si>
  <si>
    <t>MULTINOMIAL(C28:C32)</t>
  </si>
  <si>
    <t>$C$33^C28</t>
  </si>
  <si>
    <t>Yellow needed</t>
  </si>
  <si>
    <t>$C$33^C29</t>
  </si>
  <si>
    <t>$C$33^C30</t>
  </si>
  <si>
    <t>Black needed</t>
  </si>
  <si>
    <t>X5</t>
  </si>
  <si>
    <t>$C$33^C31</t>
  </si>
  <si>
    <t>P(landing of fruits)</t>
  </si>
  <si>
    <t>P^X5</t>
  </si>
  <si>
    <t>$C$33^C32</t>
  </si>
  <si>
    <t>PRODUCT(F28:F33)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</si>
</sst>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9922-2207-4979-9E73-8DA6D7B8E385}">
  <dimension ref="A1:G34"/>
  <sheetViews>
    <sheetView tabSelected="1" zoomScale="115" zoomScaleNormal="115" workbookViewId="0">
      <selection activeCell="E12" sqref="E12"/>
    </sheetView>
  </sheetViews>
  <sheetFormatPr defaultRowHeight="15" x14ac:dyDescent="0.25"/>
  <cols>
    <col min="1" max="1" width="17.42578125" customWidth="1"/>
    <col min="2" max="2" width="22" customWidth="1"/>
    <col min="3" max="3" width="11.7109375" customWidth="1"/>
    <col min="4" max="4" width="15.42578125" customWidth="1"/>
    <col min="5" max="5" width="22.7109375" customWidth="1"/>
    <col min="6" max="6" width="10.42578125" customWidth="1"/>
  </cols>
  <sheetData>
    <row r="1" spans="1:7" ht="19.5" x14ac:dyDescent="0.25">
      <c r="A1" s="22" t="s">
        <v>0</v>
      </c>
      <c r="B1" s="22"/>
      <c r="C1" s="22"/>
      <c r="D1" s="22"/>
      <c r="E1" s="22"/>
      <c r="F1" s="22"/>
      <c r="G1" s="22"/>
    </row>
    <row r="2" spans="1:7" x14ac:dyDescent="0.25">
      <c r="A2" s="23" t="s">
        <v>1</v>
      </c>
      <c r="B2" s="23"/>
      <c r="C2" s="23"/>
      <c r="D2" s="23"/>
      <c r="E2" s="23"/>
      <c r="F2" s="23"/>
      <c r="G2" s="23"/>
    </row>
    <row r="3" spans="1:7" x14ac:dyDescent="0.25">
      <c r="A3" s="24" t="s">
        <v>2</v>
      </c>
      <c r="B3" s="24"/>
      <c r="C3" s="24"/>
      <c r="D3" s="24"/>
      <c r="E3" s="24"/>
      <c r="F3" s="24"/>
      <c r="G3" s="24"/>
    </row>
    <row r="4" spans="1:7" x14ac:dyDescent="0.25">
      <c r="A4" s="24" t="s">
        <v>3</v>
      </c>
      <c r="B4" s="24"/>
      <c r="C4" s="24"/>
      <c r="D4" s="24"/>
      <c r="E4" s="24"/>
      <c r="F4" s="24"/>
      <c r="G4" s="24"/>
    </row>
    <row r="5" spans="1:7" ht="33.75" customHeight="1" x14ac:dyDescent="0.25">
      <c r="A5" s="24" t="s">
        <v>4</v>
      </c>
      <c r="B5" s="24"/>
      <c r="C5" s="24"/>
      <c r="D5" s="24"/>
      <c r="E5" s="24"/>
      <c r="F5" s="24"/>
      <c r="G5" s="24"/>
    </row>
    <row r="6" spans="1:7" ht="22.5" customHeight="1" x14ac:dyDescent="0.25">
      <c r="A6" s="1"/>
      <c r="B6" s="1"/>
      <c r="C6" s="1"/>
      <c r="D6" s="1"/>
      <c r="E6" s="1"/>
      <c r="F6" s="1"/>
      <c r="G6" s="1"/>
    </row>
    <row r="7" spans="1:7" ht="45.75" customHeight="1" x14ac:dyDescent="0.25">
      <c r="A7" s="18" t="s">
        <v>5</v>
      </c>
      <c r="B7" s="18"/>
      <c r="C7" s="18"/>
      <c r="D7" s="18"/>
      <c r="E7" s="18"/>
      <c r="F7" s="18"/>
    </row>
    <row r="8" spans="1:7" x14ac:dyDescent="0.25">
      <c r="A8" s="5" t="s">
        <v>6</v>
      </c>
      <c r="B8" s="5"/>
      <c r="C8" s="5"/>
      <c r="D8" s="5"/>
      <c r="E8" s="5"/>
      <c r="F8" s="5"/>
    </row>
    <row r="9" spans="1:7" x14ac:dyDescent="0.25">
      <c r="A9" s="2" t="s">
        <v>7</v>
      </c>
      <c r="B9" s="3" t="s">
        <v>8</v>
      </c>
      <c r="C9" s="3">
        <v>4</v>
      </c>
      <c r="D9" s="2" t="s">
        <v>9</v>
      </c>
      <c r="E9" s="3" t="s">
        <v>10</v>
      </c>
      <c r="F9" s="3">
        <f>3/8</f>
        <v>0.375</v>
      </c>
    </row>
    <row r="10" spans="1:7" x14ac:dyDescent="0.25">
      <c r="A10" s="2" t="s">
        <v>11</v>
      </c>
      <c r="B10" s="3" t="s">
        <v>12</v>
      </c>
      <c r="C10" s="3">
        <v>0</v>
      </c>
      <c r="D10" s="2" t="s">
        <v>13</v>
      </c>
      <c r="E10" s="3" t="s">
        <v>14</v>
      </c>
      <c r="F10" s="3">
        <f>1/8</f>
        <v>0.125</v>
      </c>
    </row>
    <row r="11" spans="1:7" x14ac:dyDescent="0.25">
      <c r="A11" s="2" t="s">
        <v>15</v>
      </c>
      <c r="B11" s="3" t="s">
        <v>16</v>
      </c>
      <c r="C11" s="3">
        <v>6</v>
      </c>
      <c r="D11" s="2" t="s">
        <v>17</v>
      </c>
      <c r="E11" s="3" t="s">
        <v>18</v>
      </c>
      <c r="F11" s="3">
        <v>0.5</v>
      </c>
    </row>
    <row r="12" spans="1:7" x14ac:dyDescent="0.25">
      <c r="A12" s="2" t="s">
        <v>19</v>
      </c>
      <c r="B12" s="3" t="s">
        <v>20</v>
      </c>
      <c r="C12" s="3">
        <f>MULTINOMIAL(C9:C11)</f>
        <v>209.99999999999977</v>
      </c>
      <c r="D12" s="2" t="s">
        <v>21</v>
      </c>
      <c r="E12" s="3" t="s">
        <v>22</v>
      </c>
      <c r="F12" s="3">
        <f>PRODUCT(C12:C15)</f>
        <v>6.4888000488281181E-2</v>
      </c>
    </row>
    <row r="13" spans="1:7" x14ac:dyDescent="0.25">
      <c r="A13" s="2" t="s">
        <v>23</v>
      </c>
      <c r="B13" s="3" t="s">
        <v>24</v>
      </c>
      <c r="C13" s="3">
        <f>F9^C9</f>
        <v>1.9775390625E-2</v>
      </c>
      <c r="D13" s="9"/>
      <c r="E13" s="10"/>
      <c r="F13" s="11"/>
    </row>
    <row r="14" spans="1:7" x14ac:dyDescent="0.25">
      <c r="A14" s="2" t="s">
        <v>25</v>
      </c>
      <c r="B14" s="3" t="s">
        <v>26</v>
      </c>
      <c r="C14" s="3">
        <f>F10^C10</f>
        <v>1</v>
      </c>
      <c r="D14" s="12"/>
      <c r="E14" s="13"/>
      <c r="F14" s="14"/>
    </row>
    <row r="15" spans="1:7" x14ac:dyDescent="0.25">
      <c r="A15" s="2" t="s">
        <v>27</v>
      </c>
      <c r="B15" s="3" t="s">
        <v>28</v>
      </c>
      <c r="C15" s="3">
        <f>F11^C11</f>
        <v>1.5625E-2</v>
      </c>
      <c r="D15" s="15"/>
      <c r="E15" s="16"/>
      <c r="F15" s="17"/>
    </row>
    <row r="16" spans="1:7" ht="21.75" customHeight="1" x14ac:dyDescent="0.25"/>
    <row r="17" spans="1:6" ht="32.25" customHeight="1" x14ac:dyDescent="0.25">
      <c r="A17" s="18" t="s">
        <v>29</v>
      </c>
      <c r="B17" s="18"/>
      <c r="C17" s="18"/>
      <c r="D17" s="18"/>
      <c r="E17" s="18"/>
      <c r="F17" s="18"/>
    </row>
    <row r="18" spans="1:6" x14ac:dyDescent="0.25">
      <c r="A18" s="5" t="s">
        <v>6</v>
      </c>
      <c r="B18" s="5"/>
      <c r="C18" s="5"/>
      <c r="D18" s="5"/>
      <c r="E18" s="5"/>
      <c r="F18" s="5"/>
    </row>
    <row r="19" spans="1:6" x14ac:dyDescent="0.25">
      <c r="A19" s="2" t="s">
        <v>30</v>
      </c>
      <c r="B19" s="3" t="s">
        <v>31</v>
      </c>
      <c r="C19" s="3">
        <v>1</v>
      </c>
      <c r="D19" s="2" t="s">
        <v>19</v>
      </c>
      <c r="E19" s="3" t="s">
        <v>32</v>
      </c>
      <c r="F19" s="3">
        <f>MULTINOMIAL(C19:C22)</f>
        <v>59.999999999999986</v>
      </c>
    </row>
    <row r="20" spans="1:6" x14ac:dyDescent="0.25">
      <c r="A20" s="2" t="s">
        <v>33</v>
      </c>
      <c r="B20" s="3" t="s">
        <v>34</v>
      </c>
      <c r="C20" s="3">
        <v>1</v>
      </c>
      <c r="D20" s="2" t="s">
        <v>35</v>
      </c>
      <c r="E20" s="3" t="s">
        <v>36</v>
      </c>
      <c r="F20" s="3">
        <f>$C$23^C19</f>
        <v>0.25</v>
      </c>
    </row>
    <row r="21" spans="1:6" x14ac:dyDescent="0.25">
      <c r="A21" s="2" t="s">
        <v>37</v>
      </c>
      <c r="B21" s="3" t="s">
        <v>38</v>
      </c>
      <c r="C21" s="3">
        <v>1</v>
      </c>
      <c r="D21" s="2" t="s">
        <v>39</v>
      </c>
      <c r="E21" s="3" t="s">
        <v>40</v>
      </c>
      <c r="F21" s="3">
        <f t="shared" ref="F21:F23" si="0">$C$23^C20</f>
        <v>0.25</v>
      </c>
    </row>
    <row r="22" spans="1:6" x14ac:dyDescent="0.25">
      <c r="A22" s="2" t="s">
        <v>41</v>
      </c>
      <c r="B22" s="3" t="s">
        <v>42</v>
      </c>
      <c r="C22" s="3">
        <v>2</v>
      </c>
      <c r="D22" s="2" t="s">
        <v>43</v>
      </c>
      <c r="E22" s="3" t="s">
        <v>44</v>
      </c>
      <c r="F22" s="3">
        <f t="shared" si="0"/>
        <v>0.25</v>
      </c>
    </row>
    <row r="23" spans="1:6" x14ac:dyDescent="0.25">
      <c r="A23" s="2" t="s">
        <v>45</v>
      </c>
      <c r="B23" s="3" t="s">
        <v>46</v>
      </c>
      <c r="C23" s="3">
        <f>13/52</f>
        <v>0.25</v>
      </c>
      <c r="D23" s="2" t="s">
        <v>47</v>
      </c>
      <c r="E23" s="3" t="s">
        <v>48</v>
      </c>
      <c r="F23" s="3">
        <f t="shared" si="0"/>
        <v>6.25E-2</v>
      </c>
    </row>
    <row r="24" spans="1:6" x14ac:dyDescent="0.25">
      <c r="A24" s="19"/>
      <c r="B24" s="20"/>
      <c r="C24" s="21"/>
      <c r="D24" s="2" t="s">
        <v>21</v>
      </c>
      <c r="E24" s="3" t="s">
        <v>49</v>
      </c>
      <c r="F24" s="3">
        <f>PRODUCT(F19:F23)</f>
        <v>5.8593749999999986E-2</v>
      </c>
    </row>
    <row r="25" spans="1:6" ht="22.5" customHeight="1" x14ac:dyDescent="0.25">
      <c r="A25" s="4"/>
    </row>
    <row r="26" spans="1:6" ht="49.5" customHeight="1" x14ac:dyDescent="0.25">
      <c r="A26" s="18" t="s">
        <v>50</v>
      </c>
      <c r="B26" s="18"/>
      <c r="C26" s="18"/>
      <c r="D26" s="18"/>
      <c r="E26" s="18"/>
      <c r="F26" s="18"/>
    </row>
    <row r="27" spans="1:6" x14ac:dyDescent="0.25">
      <c r="A27" s="5" t="s">
        <v>6</v>
      </c>
      <c r="B27" s="5"/>
      <c r="C27" s="5"/>
      <c r="D27" s="5"/>
      <c r="E27" s="5"/>
      <c r="F27" s="5"/>
    </row>
    <row r="28" spans="1:6" x14ac:dyDescent="0.25">
      <c r="A28" s="2" t="s">
        <v>51</v>
      </c>
      <c r="B28" s="3" t="s">
        <v>31</v>
      </c>
      <c r="C28" s="3">
        <v>2</v>
      </c>
      <c r="D28" s="2" t="s">
        <v>19</v>
      </c>
      <c r="E28" s="3" t="s">
        <v>52</v>
      </c>
      <c r="F28" s="3">
        <f>MULTINOMIAL(C28:C32)</f>
        <v>1663199.9999999988</v>
      </c>
    </row>
    <row r="29" spans="1:6" x14ac:dyDescent="0.25">
      <c r="A29" s="2" t="s">
        <v>11</v>
      </c>
      <c r="B29" s="3" t="s">
        <v>34</v>
      </c>
      <c r="C29" s="3">
        <v>3</v>
      </c>
      <c r="D29" s="2" t="s">
        <v>35</v>
      </c>
      <c r="E29" s="3" t="s">
        <v>53</v>
      </c>
      <c r="F29" s="3">
        <f>$C$33^C28</f>
        <v>4.0000000000000008E-2</v>
      </c>
    </row>
    <row r="30" spans="1:6" x14ac:dyDescent="0.25">
      <c r="A30" s="2" t="s">
        <v>54</v>
      </c>
      <c r="B30" s="3" t="s">
        <v>38</v>
      </c>
      <c r="C30" s="3">
        <v>2</v>
      </c>
      <c r="D30" s="2" t="s">
        <v>39</v>
      </c>
      <c r="E30" s="3" t="s">
        <v>55</v>
      </c>
      <c r="F30" s="3">
        <f t="shared" ref="F30:F33" si="1">$C$33^C29</f>
        <v>8.0000000000000019E-3</v>
      </c>
    </row>
    <row r="31" spans="1:6" x14ac:dyDescent="0.25">
      <c r="A31" s="2" t="s">
        <v>7</v>
      </c>
      <c r="B31" s="3" t="s">
        <v>42</v>
      </c>
      <c r="C31" s="3">
        <v>3</v>
      </c>
      <c r="D31" s="2" t="s">
        <v>43</v>
      </c>
      <c r="E31" s="3" t="s">
        <v>56</v>
      </c>
      <c r="F31" s="3">
        <f t="shared" si="1"/>
        <v>4.0000000000000008E-2</v>
      </c>
    </row>
    <row r="32" spans="1:6" x14ac:dyDescent="0.25">
      <c r="A32" s="2" t="s">
        <v>57</v>
      </c>
      <c r="B32" s="3" t="s">
        <v>58</v>
      </c>
      <c r="C32" s="3">
        <v>2</v>
      </c>
      <c r="D32" s="2" t="s">
        <v>47</v>
      </c>
      <c r="E32" s="3" t="s">
        <v>59</v>
      </c>
      <c r="F32" s="3">
        <f t="shared" si="1"/>
        <v>8.0000000000000019E-3</v>
      </c>
    </row>
    <row r="33" spans="1:6" x14ac:dyDescent="0.25">
      <c r="A33" s="2" t="s">
        <v>60</v>
      </c>
      <c r="B33" s="3" t="s">
        <v>46</v>
      </c>
      <c r="C33" s="3">
        <f>1/5</f>
        <v>0.2</v>
      </c>
      <c r="D33" s="2" t="s">
        <v>61</v>
      </c>
      <c r="E33" s="3" t="s">
        <v>62</v>
      </c>
      <c r="F33" s="3">
        <f t="shared" si="1"/>
        <v>4.0000000000000008E-2</v>
      </c>
    </row>
    <row r="34" spans="1:6" x14ac:dyDescent="0.25">
      <c r="A34" s="6"/>
      <c r="B34" s="7"/>
      <c r="C34" s="8"/>
      <c r="D34" s="2" t="s">
        <v>21</v>
      </c>
      <c r="E34" s="3" t="s">
        <v>63</v>
      </c>
      <c r="F34" s="3">
        <f>PRODUCT(F28:F33)</f>
        <v>6.8124672000000044E-3</v>
      </c>
    </row>
  </sheetData>
  <mergeCells count="14">
    <mergeCell ref="A7:F7"/>
    <mergeCell ref="A1:G1"/>
    <mergeCell ref="A2:G2"/>
    <mergeCell ref="A3:G3"/>
    <mergeCell ref="A4:G4"/>
    <mergeCell ref="A5:G5"/>
    <mergeCell ref="A27:F27"/>
    <mergeCell ref="A34:C34"/>
    <mergeCell ref="A8:F8"/>
    <mergeCell ref="D13:F15"/>
    <mergeCell ref="A17:F17"/>
    <mergeCell ref="A18:F18"/>
    <mergeCell ref="A24:C24"/>
    <mergeCell ref="A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2026-03-03T09:45:05Z</dcterms:created>
  <dcterms:modified xsi:type="dcterms:W3CDTF">2026-03-03T09:48:24Z</dcterms:modified>
</cp:coreProperties>
</file>