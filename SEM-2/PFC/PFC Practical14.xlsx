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Niket Aggarwal\Bsc hons cs\SEM-2\"/>
    </mc:Choice>
  </mc:AlternateContent>
  <xr:revisionPtr revIDLastSave="0" documentId="8_{C7265ABE-5F78-4D3E-8098-416CA7EC72D4}" xr6:coauthVersionLast="47" xr6:coauthVersionMax="47" xr10:uidLastSave="{00000000-0000-0000-0000-000000000000}"/>
  <bookViews>
    <workbookView xWindow="-120" yWindow="-120" windowWidth="20730" windowHeight="11040" xr2:uid="{E8F4E4C8-059D-4F57-9613-F6CDEBB3DC7A}"/>
  </bookViews>
  <sheets>
    <sheet name="Practical1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9" i="1" l="1"/>
  <c r="A39" i="1"/>
  <c r="E37" i="1"/>
  <c r="D37" i="1"/>
  <c r="C37" i="1"/>
  <c r="E36" i="1"/>
  <c r="D36" i="1"/>
  <c r="C36" i="1"/>
  <c r="E35" i="1"/>
  <c r="D35" i="1"/>
  <c r="C35" i="1"/>
  <c r="E34" i="1"/>
  <c r="D34" i="1"/>
  <c r="C34" i="1"/>
  <c r="E33" i="1"/>
  <c r="D33" i="1"/>
  <c r="C33" i="1"/>
  <c r="E32" i="1"/>
  <c r="E39" i="1" s="1"/>
  <c r="D32" i="1"/>
  <c r="D39" i="1" s="1"/>
  <c r="C32" i="1"/>
  <c r="C39" i="1" s="1"/>
  <c r="B40" i="1" s="1"/>
  <c r="B27" i="1"/>
  <c r="A27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E27" i="1" s="1"/>
  <c r="D20" i="1"/>
  <c r="D27" i="1" s="1"/>
  <c r="C20" i="1"/>
  <c r="C27" i="1" s="1"/>
  <c r="B15" i="1"/>
  <c r="A15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E15" i="1" s="1"/>
  <c r="D4" i="1"/>
  <c r="D15" i="1" s="1"/>
  <c r="C4" i="1"/>
  <c r="C15" i="1" s="1"/>
  <c r="B16" i="1" s="1"/>
  <c r="B28" i="1" l="1"/>
</calcChain>
</file>

<file path=xl/sharedStrings.xml><?xml version="1.0" encoding="utf-8"?>
<sst xmlns="http://schemas.openxmlformats.org/spreadsheetml/2006/main" count="40" uniqueCount="17">
  <si>
    <t>Correlation Coefficient</t>
  </si>
  <si>
    <t xml:space="preserve">Q1) </t>
  </si>
  <si>
    <t>N=10</t>
  </si>
  <si>
    <t>X</t>
  </si>
  <si>
    <t>Y</t>
  </si>
  <si>
    <t>XY</t>
  </si>
  <si>
    <t>X^2</t>
  </si>
  <si>
    <t>Y^2</t>
  </si>
  <si>
    <t>Sum(X)</t>
  </si>
  <si>
    <t>Sum(Y)</t>
  </si>
  <si>
    <t>Sum(XY)</t>
  </si>
  <si>
    <t>Sum(X^2)</t>
  </si>
  <si>
    <t>Sum(Y^2)</t>
  </si>
  <si>
    <t>Ans</t>
  </si>
  <si>
    <t xml:space="preserve">Q2) </t>
  </si>
  <si>
    <t>N=6</t>
  </si>
  <si>
    <t xml:space="preserve">Q3)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</si>
</sst>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7FAFD-E4BF-4948-921C-F6BD67DFE71D}">
  <dimension ref="A1:E40"/>
  <sheetViews>
    <sheetView tabSelected="1" workbookViewId="0">
      <selection activeCell="F4" sqref="F4"/>
    </sheetView>
  </sheetViews>
  <sheetFormatPr defaultRowHeight="15" x14ac:dyDescent="0.25"/>
  <sheetData>
    <row r="1" spans="1:5" ht="19.5" x14ac:dyDescent="0.3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3" t="s">
        <v>2</v>
      </c>
      <c r="C2" s="3"/>
      <c r="D2" s="3"/>
      <c r="E2" s="3"/>
    </row>
    <row r="3" spans="1:5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</row>
    <row r="4" spans="1:5" x14ac:dyDescent="0.25">
      <c r="A4" s="3">
        <v>2</v>
      </c>
      <c r="B4" s="3">
        <v>3</v>
      </c>
      <c r="C4" s="3">
        <f>A4*B4</f>
        <v>6</v>
      </c>
      <c r="D4" s="3">
        <f>A4*A4</f>
        <v>4</v>
      </c>
      <c r="E4" s="3">
        <f>B4*B4</f>
        <v>9</v>
      </c>
    </row>
    <row r="5" spans="1:5" x14ac:dyDescent="0.25">
      <c r="A5" s="3">
        <v>4</v>
      </c>
      <c r="B5" s="3">
        <v>6</v>
      </c>
      <c r="C5" s="3">
        <f t="shared" ref="C5:C13" si="0">A5*B5</f>
        <v>24</v>
      </c>
      <c r="D5" s="3">
        <f t="shared" ref="D5:E13" si="1">A5*A5</f>
        <v>16</v>
      </c>
      <c r="E5" s="3">
        <f t="shared" si="1"/>
        <v>36</v>
      </c>
    </row>
    <row r="6" spans="1:5" x14ac:dyDescent="0.25">
      <c r="A6" s="3">
        <v>6</v>
      </c>
      <c r="B6" s="3">
        <v>9</v>
      </c>
      <c r="C6" s="3">
        <f t="shared" si="0"/>
        <v>54</v>
      </c>
      <c r="D6" s="3">
        <f t="shared" si="1"/>
        <v>36</v>
      </c>
      <c r="E6" s="3">
        <f t="shared" si="1"/>
        <v>81</v>
      </c>
    </row>
    <row r="7" spans="1:5" x14ac:dyDescent="0.25">
      <c r="A7" s="3">
        <v>8</v>
      </c>
      <c r="B7" s="3">
        <v>12</v>
      </c>
      <c r="C7" s="3">
        <f t="shared" si="0"/>
        <v>96</v>
      </c>
      <c r="D7" s="3">
        <f t="shared" si="1"/>
        <v>64</v>
      </c>
      <c r="E7" s="3">
        <f t="shared" si="1"/>
        <v>144</v>
      </c>
    </row>
    <row r="8" spans="1:5" x14ac:dyDescent="0.25">
      <c r="A8" s="3">
        <v>10</v>
      </c>
      <c r="B8" s="3">
        <v>15</v>
      </c>
      <c r="C8" s="3">
        <f t="shared" si="0"/>
        <v>150</v>
      </c>
      <c r="D8" s="3">
        <f t="shared" si="1"/>
        <v>100</v>
      </c>
      <c r="E8" s="3">
        <f t="shared" si="1"/>
        <v>225</v>
      </c>
    </row>
    <row r="9" spans="1:5" x14ac:dyDescent="0.25">
      <c r="A9" s="3">
        <v>12</v>
      </c>
      <c r="B9" s="3">
        <v>18</v>
      </c>
      <c r="C9" s="3">
        <f t="shared" si="0"/>
        <v>216</v>
      </c>
      <c r="D9" s="3">
        <f t="shared" si="1"/>
        <v>144</v>
      </c>
      <c r="E9" s="3">
        <f t="shared" si="1"/>
        <v>324</v>
      </c>
    </row>
    <row r="10" spans="1:5" x14ac:dyDescent="0.25">
      <c r="A10" s="3">
        <v>14</v>
      </c>
      <c r="B10" s="3">
        <v>21</v>
      </c>
      <c r="C10" s="3">
        <f t="shared" si="0"/>
        <v>294</v>
      </c>
      <c r="D10" s="3">
        <f t="shared" si="1"/>
        <v>196</v>
      </c>
      <c r="E10" s="3">
        <f t="shared" si="1"/>
        <v>441</v>
      </c>
    </row>
    <row r="11" spans="1:5" x14ac:dyDescent="0.25">
      <c r="A11" s="3">
        <v>16</v>
      </c>
      <c r="B11" s="3">
        <v>24</v>
      </c>
      <c r="C11" s="3">
        <f t="shared" si="0"/>
        <v>384</v>
      </c>
      <c r="D11" s="3">
        <f t="shared" si="1"/>
        <v>256</v>
      </c>
      <c r="E11" s="3">
        <f t="shared" si="1"/>
        <v>576</v>
      </c>
    </row>
    <row r="12" spans="1:5" x14ac:dyDescent="0.25">
      <c r="A12" s="3">
        <v>18</v>
      </c>
      <c r="B12" s="3">
        <v>27</v>
      </c>
      <c r="C12" s="3">
        <f t="shared" si="0"/>
        <v>486</v>
      </c>
      <c r="D12" s="3">
        <f t="shared" si="1"/>
        <v>324</v>
      </c>
      <c r="E12" s="3">
        <f t="shared" si="1"/>
        <v>729</v>
      </c>
    </row>
    <row r="13" spans="1:5" x14ac:dyDescent="0.25">
      <c r="A13" s="3">
        <v>20</v>
      </c>
      <c r="B13" s="3">
        <v>30</v>
      </c>
      <c r="C13" s="3">
        <f t="shared" si="0"/>
        <v>600</v>
      </c>
      <c r="D13" s="3">
        <f t="shared" si="1"/>
        <v>400</v>
      </c>
      <c r="E13" s="3">
        <f t="shared" si="1"/>
        <v>900</v>
      </c>
    </row>
    <row r="14" spans="1:5" x14ac:dyDescent="0.25">
      <c r="A14" s="2" t="s">
        <v>8</v>
      </c>
      <c r="B14" s="2" t="s">
        <v>9</v>
      </c>
      <c r="C14" s="2" t="s">
        <v>10</v>
      </c>
      <c r="D14" s="2" t="s">
        <v>11</v>
      </c>
      <c r="E14" s="2" t="s">
        <v>12</v>
      </c>
    </row>
    <row r="15" spans="1:5" x14ac:dyDescent="0.25">
      <c r="A15" s="3">
        <f>SUM(A4:A13)</f>
        <v>110</v>
      </c>
      <c r="B15" s="3">
        <f>SUM(B4:B13)</f>
        <v>165</v>
      </c>
      <c r="C15" s="3">
        <f>SUM(C4:C13)</f>
        <v>2310</v>
      </c>
      <c r="D15" s="3">
        <f>SUM(D4:D13)</f>
        <v>1540</v>
      </c>
      <c r="E15" s="3">
        <f>SUM(E4:E13)</f>
        <v>3465</v>
      </c>
    </row>
    <row r="16" spans="1:5" x14ac:dyDescent="0.25">
      <c r="A16" s="2" t="s">
        <v>13</v>
      </c>
      <c r="B16" s="3">
        <f>((10*C15)-(A15*B15))/((10*D15-(A15*A15))*(10*E15-(B15*B15)))</f>
        <v>2.0202020202020202E-4</v>
      </c>
      <c r="C16" s="4"/>
      <c r="D16" s="5"/>
      <c r="E16" s="6"/>
    </row>
    <row r="18" spans="1:5" x14ac:dyDescent="0.25">
      <c r="A18" s="2" t="s">
        <v>14</v>
      </c>
      <c r="B18" s="3" t="s">
        <v>15</v>
      </c>
      <c r="C18" s="3"/>
      <c r="D18" s="3"/>
      <c r="E18" s="3"/>
    </row>
    <row r="19" spans="1:5" x14ac:dyDescent="0.25">
      <c r="A19" s="2" t="s">
        <v>3</v>
      </c>
      <c r="B19" s="2" t="s">
        <v>4</v>
      </c>
      <c r="C19" s="2" t="s">
        <v>5</v>
      </c>
      <c r="D19" s="2" t="s">
        <v>6</v>
      </c>
      <c r="E19" s="2" t="s">
        <v>7</v>
      </c>
    </row>
    <row r="20" spans="1:5" x14ac:dyDescent="0.25">
      <c r="A20" s="3">
        <v>42</v>
      </c>
      <c r="B20" s="3">
        <v>98</v>
      </c>
      <c r="C20" s="3">
        <f>A20*B20</f>
        <v>4116</v>
      </c>
      <c r="D20" s="3">
        <f>A20*A20</f>
        <v>1764</v>
      </c>
      <c r="E20" s="3">
        <f>B20*B20</f>
        <v>9604</v>
      </c>
    </row>
    <row r="21" spans="1:5" x14ac:dyDescent="0.25">
      <c r="A21" s="3">
        <v>23</v>
      </c>
      <c r="B21" s="3">
        <v>68</v>
      </c>
      <c r="C21" s="3">
        <f t="shared" ref="C21:C25" si="2">A21*B21</f>
        <v>1564</v>
      </c>
      <c r="D21" s="3">
        <f t="shared" ref="D21:E29" si="3">A21*A21</f>
        <v>529</v>
      </c>
      <c r="E21" s="3">
        <f t="shared" si="3"/>
        <v>4624</v>
      </c>
    </row>
    <row r="22" spans="1:5" x14ac:dyDescent="0.25">
      <c r="A22" s="3">
        <v>22</v>
      </c>
      <c r="B22" s="3">
        <v>73</v>
      </c>
      <c r="C22" s="3">
        <f t="shared" si="2"/>
        <v>1606</v>
      </c>
      <c r="D22" s="3">
        <f t="shared" si="3"/>
        <v>484</v>
      </c>
      <c r="E22" s="3">
        <f t="shared" si="3"/>
        <v>5329</v>
      </c>
    </row>
    <row r="23" spans="1:5" x14ac:dyDescent="0.25">
      <c r="A23" s="3">
        <v>47</v>
      </c>
      <c r="B23" s="3">
        <v>79</v>
      </c>
      <c r="C23" s="3">
        <f t="shared" si="2"/>
        <v>3713</v>
      </c>
      <c r="D23" s="3">
        <f t="shared" si="3"/>
        <v>2209</v>
      </c>
      <c r="E23" s="3">
        <f t="shared" si="3"/>
        <v>6241</v>
      </c>
    </row>
    <row r="24" spans="1:5" x14ac:dyDescent="0.25">
      <c r="A24" s="3">
        <v>50</v>
      </c>
      <c r="B24" s="3">
        <v>88</v>
      </c>
      <c r="C24" s="3">
        <f t="shared" si="2"/>
        <v>4400</v>
      </c>
      <c r="D24" s="3">
        <f t="shared" si="3"/>
        <v>2500</v>
      </c>
      <c r="E24" s="3">
        <f t="shared" si="3"/>
        <v>7744</v>
      </c>
    </row>
    <row r="25" spans="1:5" x14ac:dyDescent="0.25">
      <c r="A25" s="3">
        <v>60</v>
      </c>
      <c r="B25" s="3">
        <v>82</v>
      </c>
      <c r="C25" s="3">
        <f t="shared" si="2"/>
        <v>4920</v>
      </c>
      <c r="D25" s="3">
        <f t="shared" si="3"/>
        <v>3600</v>
      </c>
      <c r="E25" s="3">
        <f t="shared" si="3"/>
        <v>6724</v>
      </c>
    </row>
    <row r="26" spans="1:5" x14ac:dyDescent="0.25">
      <c r="A26" s="2" t="s">
        <v>8</v>
      </c>
      <c r="B26" s="2" t="s">
        <v>9</v>
      </c>
      <c r="C26" s="2" t="s">
        <v>10</v>
      </c>
      <c r="D26" s="2" t="s">
        <v>11</v>
      </c>
      <c r="E26" s="2" t="s">
        <v>12</v>
      </c>
    </row>
    <row r="27" spans="1:5" x14ac:dyDescent="0.25">
      <c r="A27" s="3">
        <f>SUM(A20:A25)</f>
        <v>244</v>
      </c>
      <c r="B27" s="3">
        <f>SUM(B20:B25)</f>
        <v>488</v>
      </c>
      <c r="C27" s="3">
        <f>SUM(C20:C25)</f>
        <v>20319</v>
      </c>
      <c r="D27" s="3">
        <f>SUM(D20:D25)</f>
        <v>11086</v>
      </c>
      <c r="E27" s="3">
        <f>SUM(E20:E25)</f>
        <v>40266</v>
      </c>
    </row>
    <row r="28" spans="1:5" x14ac:dyDescent="0.25">
      <c r="A28" s="2" t="s">
        <v>13</v>
      </c>
      <c r="B28" s="3">
        <f>((6*C27)-(A6*B27))/((6*D27-(A27*A27))*(6*E27-(B27*B27)))</f>
        <v>4.9382111445713129E-3</v>
      </c>
      <c r="C28" s="7"/>
      <c r="D28" s="7"/>
      <c r="E28" s="7"/>
    </row>
    <row r="30" spans="1:5" x14ac:dyDescent="0.25">
      <c r="A30" s="2" t="s">
        <v>16</v>
      </c>
      <c r="B30" s="3" t="s">
        <v>15</v>
      </c>
      <c r="C30" s="3"/>
      <c r="D30" s="3"/>
      <c r="E30" s="3"/>
    </row>
    <row r="31" spans="1:5" x14ac:dyDescent="0.25">
      <c r="A31" s="2" t="s">
        <v>3</v>
      </c>
      <c r="B31" s="2" t="s">
        <v>4</v>
      </c>
      <c r="C31" s="2" t="s">
        <v>5</v>
      </c>
      <c r="D31" s="2" t="s">
        <v>6</v>
      </c>
      <c r="E31" s="2" t="s">
        <v>7</v>
      </c>
    </row>
    <row r="32" spans="1:5" x14ac:dyDescent="0.25">
      <c r="A32" s="3">
        <v>21</v>
      </c>
      <c r="B32" s="3">
        <v>70</v>
      </c>
      <c r="C32" s="3">
        <f>A32*B32</f>
        <v>1470</v>
      </c>
      <c r="D32" s="3">
        <f>A32*A32</f>
        <v>441</v>
      </c>
      <c r="E32" s="3">
        <f>B32*B32</f>
        <v>4900</v>
      </c>
    </row>
    <row r="33" spans="1:5" x14ac:dyDescent="0.25">
      <c r="A33" s="3">
        <v>31</v>
      </c>
      <c r="B33" s="3">
        <v>55</v>
      </c>
      <c r="C33" s="3">
        <f t="shared" ref="C33:C37" si="4">A33*B33</f>
        <v>1705</v>
      </c>
      <c r="D33" s="3">
        <f t="shared" ref="D33:E40" si="5">A33*A33</f>
        <v>961</v>
      </c>
      <c r="E33" s="3">
        <f t="shared" si="5"/>
        <v>3025</v>
      </c>
    </row>
    <row r="34" spans="1:5" x14ac:dyDescent="0.25">
      <c r="A34" s="3">
        <v>25</v>
      </c>
      <c r="B34" s="3">
        <v>60</v>
      </c>
      <c r="C34" s="3">
        <f t="shared" si="4"/>
        <v>1500</v>
      </c>
      <c r="D34" s="3">
        <f t="shared" si="5"/>
        <v>625</v>
      </c>
      <c r="E34" s="3">
        <f t="shared" si="5"/>
        <v>3600</v>
      </c>
    </row>
    <row r="35" spans="1:5" x14ac:dyDescent="0.25">
      <c r="A35" s="3">
        <v>40</v>
      </c>
      <c r="B35" s="3">
        <v>78</v>
      </c>
      <c r="C35" s="3">
        <f t="shared" si="4"/>
        <v>3120</v>
      </c>
      <c r="D35" s="3">
        <f t="shared" si="5"/>
        <v>1600</v>
      </c>
      <c r="E35" s="3">
        <f t="shared" si="5"/>
        <v>6084</v>
      </c>
    </row>
    <row r="36" spans="1:5" x14ac:dyDescent="0.25">
      <c r="A36" s="3">
        <v>47</v>
      </c>
      <c r="B36" s="3">
        <v>66</v>
      </c>
      <c r="C36" s="3">
        <f t="shared" si="4"/>
        <v>3102</v>
      </c>
      <c r="D36" s="3">
        <f t="shared" si="5"/>
        <v>2209</v>
      </c>
      <c r="E36" s="3">
        <f t="shared" si="5"/>
        <v>4356</v>
      </c>
    </row>
    <row r="37" spans="1:5" x14ac:dyDescent="0.25">
      <c r="A37" s="3">
        <v>38</v>
      </c>
      <c r="B37" s="3">
        <v>80</v>
      </c>
      <c r="C37" s="3">
        <f t="shared" si="4"/>
        <v>3040</v>
      </c>
      <c r="D37" s="3">
        <f t="shared" si="5"/>
        <v>1444</v>
      </c>
      <c r="E37" s="3">
        <f t="shared" si="5"/>
        <v>6400</v>
      </c>
    </row>
    <row r="38" spans="1:5" x14ac:dyDescent="0.25">
      <c r="A38" s="2" t="s">
        <v>8</v>
      </c>
      <c r="B38" s="2" t="s">
        <v>9</v>
      </c>
      <c r="C38" s="2" t="s">
        <v>10</v>
      </c>
      <c r="D38" s="2" t="s">
        <v>11</v>
      </c>
      <c r="E38" s="2" t="s">
        <v>12</v>
      </c>
    </row>
    <row r="39" spans="1:5" x14ac:dyDescent="0.25">
      <c r="A39" s="3">
        <f>SUM(A32:A37)</f>
        <v>202</v>
      </c>
      <c r="B39" s="3">
        <f>SUM(B32:B37)</f>
        <v>409</v>
      </c>
      <c r="C39" s="3">
        <f>SUM(C32:C37)</f>
        <v>13937</v>
      </c>
      <c r="D39" s="3">
        <f>SUM(D32:D37)</f>
        <v>7280</v>
      </c>
      <c r="E39" s="3">
        <f>SUM(E32:E37)</f>
        <v>28365</v>
      </c>
    </row>
    <row r="40" spans="1:5" x14ac:dyDescent="0.25">
      <c r="A40" s="2" t="s">
        <v>13</v>
      </c>
      <c r="B40" s="3">
        <f>(6*C39-A39*B39)/((6*D39-A39*A39)*(6*E39-B39*B39))</f>
        <v>1.2000548869725196E-4</v>
      </c>
      <c r="C40" s="7"/>
      <c r="D40" s="7"/>
      <c r="E40" s="7"/>
    </row>
  </sheetData>
  <mergeCells count="4">
    <mergeCell ref="A1:E1"/>
    <mergeCell ref="C16:E16"/>
    <mergeCell ref="C28:E28"/>
    <mergeCell ref="C40:E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Practical14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Niket Aggarwal  10700</dc:creator>
  <cp:lastModifiedBy>Niket Aggarwal  10700</cp:lastModifiedBy>
  <dcterms:created xsi:type="dcterms:W3CDTF">2026-03-11T13:08:42Z</dcterms:created>
  <dcterms:modified xsi:type="dcterms:W3CDTF">2026-03-11T13:09:26Z</dcterms:modified>
</cp:coreProperties>
</file>