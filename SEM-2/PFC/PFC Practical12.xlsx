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13_ncr:1_{C97C6B38-A5F1-4126-BB6F-688F83BE3706}" xr6:coauthVersionLast="47" xr6:coauthVersionMax="47" xr10:uidLastSave="{00000000-0000-0000-0000-000000000000}"/>
  <bookViews>
    <workbookView xWindow="-120" yWindow="-120" windowWidth="20730" windowHeight="11040" xr2:uid="{25AEF6F1-4EB8-4143-8DD8-BFD404332204}"/>
  </bookViews>
  <sheets>
    <sheet name="Practical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B46" i="1"/>
  <c r="A46" i="1"/>
  <c r="C43" i="1" s="1"/>
  <c r="E43" i="1" s="1"/>
  <c r="E44" i="1"/>
  <c r="D44" i="1"/>
  <c r="C44" i="1"/>
  <c r="D43" i="1"/>
  <c r="D42" i="1"/>
  <c r="C42" i="1"/>
  <c r="E42" i="1" s="1"/>
  <c r="D41" i="1"/>
  <c r="C41" i="1"/>
  <c r="E41" i="1" s="1"/>
  <c r="E40" i="1"/>
  <c r="D40" i="1"/>
  <c r="C40" i="1"/>
  <c r="D39" i="1"/>
  <c r="E39" i="1" s="1"/>
  <c r="C39" i="1"/>
  <c r="D38" i="1"/>
  <c r="C38" i="1"/>
  <c r="E38" i="1" s="1"/>
  <c r="D37" i="1"/>
  <c r="C37" i="1"/>
  <c r="E37" i="1" s="1"/>
  <c r="E36" i="1"/>
  <c r="D36" i="1"/>
  <c r="C36" i="1"/>
  <c r="D32" i="1"/>
  <c r="B32" i="1"/>
  <c r="D27" i="1" s="1"/>
  <c r="E27" i="1" s="1"/>
  <c r="A32" i="1"/>
  <c r="D30" i="1"/>
  <c r="E30" i="1" s="1"/>
  <c r="C30" i="1"/>
  <c r="C29" i="1"/>
  <c r="C28" i="1"/>
  <c r="C27" i="1"/>
  <c r="D26" i="1"/>
  <c r="E26" i="1" s="1"/>
  <c r="C26" i="1"/>
  <c r="C25" i="1"/>
  <c r="C24" i="1"/>
  <c r="C23" i="1"/>
  <c r="D19" i="1"/>
  <c r="B19" i="1"/>
  <c r="D14" i="1" s="1"/>
  <c r="E14" i="1" s="1"/>
  <c r="A19" i="1"/>
  <c r="D17" i="1"/>
  <c r="E17" i="1" s="1"/>
  <c r="C17" i="1"/>
  <c r="C16" i="1"/>
  <c r="C15" i="1"/>
  <c r="C14" i="1"/>
  <c r="D13" i="1"/>
  <c r="E13" i="1" s="1"/>
  <c r="C13" i="1"/>
  <c r="C12" i="1"/>
  <c r="C11" i="1"/>
  <c r="C10" i="1"/>
  <c r="D9" i="1"/>
  <c r="E9" i="1" s="1"/>
  <c r="C9" i="1"/>
  <c r="C8" i="1"/>
  <c r="C7" i="1"/>
  <c r="C6" i="1"/>
  <c r="D5" i="1"/>
  <c r="E5" i="1" s="1"/>
  <c r="C5" i="1"/>
  <c r="C4" i="1"/>
  <c r="E15" i="1" l="1"/>
  <c r="E25" i="1"/>
  <c r="E28" i="1"/>
  <c r="E29" i="1"/>
  <c r="D45" i="1"/>
  <c r="D25" i="1"/>
  <c r="D29" i="1"/>
  <c r="D7" i="1"/>
  <c r="E7" i="1" s="1"/>
  <c r="D11" i="1"/>
  <c r="E11" i="1" s="1"/>
  <c r="D15" i="1"/>
  <c r="D4" i="1"/>
  <c r="E4" i="1" s="1"/>
  <c r="D8" i="1"/>
  <c r="E8" i="1" s="1"/>
  <c r="D12" i="1"/>
  <c r="E12" i="1" s="1"/>
  <c r="D16" i="1"/>
  <c r="E16" i="1" s="1"/>
  <c r="D24" i="1"/>
  <c r="E24" i="1" s="1"/>
  <c r="D28" i="1"/>
  <c r="D6" i="1"/>
  <c r="E6" i="1" s="1"/>
  <c r="D10" i="1"/>
  <c r="E10" i="1" s="1"/>
  <c r="D23" i="1"/>
  <c r="E23" i="1" s="1"/>
  <c r="D18" i="1" l="1"/>
  <c r="D31" i="1"/>
</calcChain>
</file>

<file path=xl/sharedStrings.xml><?xml version="1.0" encoding="utf-8"?>
<sst xmlns="http://schemas.openxmlformats.org/spreadsheetml/2006/main" count="37" uniqueCount="18">
  <si>
    <t>covariance</t>
  </si>
  <si>
    <t>Q1-</t>
  </si>
  <si>
    <t>X</t>
  </si>
  <si>
    <t>Y</t>
  </si>
  <si>
    <t>X-X'</t>
  </si>
  <si>
    <t>Y-Y'</t>
  </si>
  <si>
    <t>(X-X')*(Y-Y')</t>
  </si>
  <si>
    <t>X'</t>
  </si>
  <si>
    <t>y'</t>
  </si>
  <si>
    <t>Cov(X,Y)</t>
  </si>
  <si>
    <t>AVERAGE(E4:E17)</t>
  </si>
  <si>
    <t>COVARIANCE.S(A4:A17,B4:B17)</t>
  </si>
  <si>
    <t>Q2-</t>
  </si>
  <si>
    <t>AVERAGE(E23:E30)</t>
  </si>
  <si>
    <t>COVARIANCE.S(A23:A30,B23:B30)</t>
  </si>
  <si>
    <t>Q3-</t>
  </si>
  <si>
    <t>AVERAGE(E36:E44)</t>
  </si>
  <si>
    <t>COVARIANCE.S(A36:A44,B36:B44)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</si>
</sst>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Q1-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Practical12!$A$4:$A$17</c:f>
              <c:numCache>
                <c:formatCode>General</c:formatCode>
                <c:ptCount val="14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14</c:v>
                </c:pt>
                <c:pt idx="10">
                  <c:v>35</c:v>
                </c:pt>
                <c:pt idx="11">
                  <c:v>29</c:v>
                </c:pt>
                <c:pt idx="12">
                  <c:v>4</c:v>
                </c:pt>
                <c:pt idx="13">
                  <c:v>23</c:v>
                </c:pt>
              </c:numCache>
            </c:numRef>
          </c:xVal>
          <c:yVal>
            <c:numRef>
              <c:f>Practical12!$B$4:$B$17</c:f>
              <c:numCache>
                <c:formatCode>General</c:formatCode>
                <c:ptCount val="14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68</c:v>
                </c:pt>
                <c:pt idx="10">
                  <c:v>58</c:v>
                </c:pt>
                <c:pt idx="11">
                  <c:v>58</c:v>
                </c:pt>
                <c:pt idx="12">
                  <c:v>92</c:v>
                </c:pt>
                <c:pt idx="1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9-442A-8EF9-AD1C8B58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99295"/>
        <c:axId val="1016304575"/>
      </c:scatterChart>
      <c:valAx>
        <c:axId val="10162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04575"/>
        <c:crosses val="autoZero"/>
        <c:crossBetween val="midCat"/>
      </c:valAx>
      <c:valAx>
        <c:axId val="10163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9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Q2-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Practical12!$A$23:$A$30</c:f>
              <c:numCache>
                <c:formatCode>General</c:formatCode>
                <c:ptCount val="8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</c:numCache>
            </c:numRef>
          </c:xVal>
          <c:yVal>
            <c:numRef>
              <c:f>Practical12!$B$23:$B$30</c:f>
              <c:numCache>
                <c:formatCode>General</c:formatCode>
                <c:ptCount val="8"/>
                <c:pt idx="0">
                  <c:v>19</c:v>
                </c:pt>
                <c:pt idx="1">
                  <c:v>21</c:v>
                </c:pt>
                <c:pt idx="2">
                  <c:v>22</c:v>
                </c:pt>
                <c:pt idx="3">
                  <c:v>29</c:v>
                </c:pt>
                <c:pt idx="4">
                  <c:v>27</c:v>
                </c:pt>
                <c:pt idx="5">
                  <c:v>24</c:v>
                </c:pt>
                <c:pt idx="6">
                  <c:v>27</c:v>
                </c:pt>
                <c:pt idx="7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F-43B4-93B4-D5FFBAF51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308895"/>
        <c:axId val="1016292575"/>
      </c:scatterChart>
      <c:valAx>
        <c:axId val="101630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92575"/>
        <c:crosses val="autoZero"/>
        <c:crossBetween val="midCat"/>
      </c:valAx>
      <c:valAx>
        <c:axId val="101629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0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Practical12!$A$36:$A$44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2</c:v>
                </c:pt>
                <c:pt idx="8">
                  <c:v>4</c:v>
                </c:pt>
              </c:numCache>
            </c:numRef>
          </c:xVal>
          <c:yVal>
            <c:numRef>
              <c:f>Practical12!$B$36:$B$44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6B-4AE4-84CB-E23C2832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216111"/>
        <c:axId val="1102213231"/>
      </c:scatterChart>
      <c:valAx>
        <c:axId val="110221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13231"/>
        <c:crosses val="autoZero"/>
        <c:crossBetween val="midCat"/>
      </c:valAx>
      <c:valAx>
        <c:axId val="11022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1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104775</xdr:rowOff>
    </xdr:from>
    <xdr:to>
      <xdr:col>12</xdr:col>
      <xdr:colOff>571500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35ACB-98B6-629F-4E22-89BAE85CB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319087</xdr:colOff>
      <xdr:row>19</xdr:row>
      <xdr:rowOff>285750</xdr:rowOff>
    </xdr:from>
    <xdr:to>
      <xdr:col>12</xdr:col>
      <xdr:colOff>228600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DF7E8-0CE1-6C53-5915-3FDA8CD13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33</xdr:row>
      <xdr:rowOff>66674</xdr:rowOff>
    </xdr:from>
    <xdr:to>
      <xdr:col>12</xdr:col>
      <xdr:colOff>200025</xdr:colOff>
      <xdr:row>45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95CB2-8FED-CD59-E7D8-88D3140A9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2F3A-7263-4C63-A135-9D386C2D2E32}">
  <dimension ref="A1:E46"/>
  <sheetViews>
    <sheetView tabSelected="1" workbookViewId="0">
      <selection activeCell="O28" sqref="O28"/>
    </sheetView>
  </sheetViews>
  <sheetFormatPr defaultRowHeight="15" x14ac:dyDescent="0.25"/>
  <cols>
    <col min="1" max="1" width="10.85546875" customWidth="1"/>
    <col min="3" max="3" width="17.140625" customWidth="1"/>
    <col min="4" max="4" width="15.28515625" customWidth="1"/>
    <col min="5" max="5" width="30.5703125" customWidth="1"/>
  </cols>
  <sheetData>
    <row r="1" spans="1:5" ht="19.5" x14ac:dyDescent="0.25">
      <c r="A1" s="3" t="s">
        <v>0</v>
      </c>
      <c r="B1" s="3"/>
      <c r="C1" s="3"/>
      <c r="D1" s="3"/>
      <c r="E1" s="3"/>
    </row>
    <row r="2" spans="1:5" ht="15.75" x14ac:dyDescent="0.25">
      <c r="A2" s="4" t="s">
        <v>1</v>
      </c>
      <c r="B2" s="5"/>
      <c r="C2" s="5"/>
      <c r="D2" s="5"/>
      <c r="E2" s="6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>
        <v>5</v>
      </c>
      <c r="B4" s="2">
        <v>80</v>
      </c>
      <c r="C4" s="2">
        <f>A4-$A$19</f>
        <v>-14.428571428571427</v>
      </c>
      <c r="D4" s="2">
        <f>B4-$B$19</f>
        <v>7.3571428571428612</v>
      </c>
      <c r="E4" s="2">
        <f>C4*D4</f>
        <v>-106.15306122448985</v>
      </c>
    </row>
    <row r="5" spans="1:5" x14ac:dyDescent="0.25">
      <c r="A5" s="2">
        <v>23</v>
      </c>
      <c r="B5" s="2">
        <v>78</v>
      </c>
      <c r="C5" s="2">
        <f t="shared" ref="C5:C17" si="0">A5-$A$19</f>
        <v>3.571428571428573</v>
      </c>
      <c r="D5" s="2">
        <f t="shared" ref="D5:D17" si="1">B5-$B$19</f>
        <v>5.3571428571428612</v>
      </c>
      <c r="E5" s="2">
        <f>C5*D5</f>
        <v>19.132653061224513</v>
      </c>
    </row>
    <row r="6" spans="1:5" x14ac:dyDescent="0.25">
      <c r="A6" s="2">
        <v>25</v>
      </c>
      <c r="B6" s="2">
        <v>60</v>
      </c>
      <c r="C6" s="2">
        <f t="shared" si="0"/>
        <v>5.571428571428573</v>
      </c>
      <c r="D6" s="2">
        <f t="shared" si="1"/>
        <v>-12.642857142857139</v>
      </c>
      <c r="E6" s="2">
        <f t="shared" ref="E6:E17" si="2">C6*D6</f>
        <v>-70.438775510204081</v>
      </c>
    </row>
    <row r="7" spans="1:5" x14ac:dyDescent="0.25">
      <c r="A7" s="2">
        <v>48</v>
      </c>
      <c r="B7" s="2">
        <v>53</v>
      </c>
      <c r="C7" s="2">
        <f t="shared" si="0"/>
        <v>28.571428571428573</v>
      </c>
      <c r="D7" s="2">
        <f t="shared" si="1"/>
        <v>-19.642857142857139</v>
      </c>
      <c r="E7" s="2">
        <f t="shared" si="2"/>
        <v>-561.22448979591832</v>
      </c>
    </row>
    <row r="8" spans="1:5" x14ac:dyDescent="0.25">
      <c r="A8" s="2">
        <v>17</v>
      </c>
      <c r="B8" s="2">
        <v>85</v>
      </c>
      <c r="C8" s="2">
        <f t="shared" si="0"/>
        <v>-2.428571428571427</v>
      </c>
      <c r="D8" s="2">
        <f t="shared" si="1"/>
        <v>12.357142857142861</v>
      </c>
      <c r="E8" s="2">
        <f t="shared" si="2"/>
        <v>-30.010204081632644</v>
      </c>
    </row>
    <row r="9" spans="1:5" x14ac:dyDescent="0.25">
      <c r="A9" s="2">
        <v>8</v>
      </c>
      <c r="B9" s="2">
        <v>84</v>
      </c>
      <c r="C9" s="2">
        <f t="shared" si="0"/>
        <v>-11.428571428571427</v>
      </c>
      <c r="D9" s="2">
        <f t="shared" si="1"/>
        <v>11.357142857142861</v>
      </c>
      <c r="E9" s="2">
        <f t="shared" si="2"/>
        <v>-129.79591836734696</v>
      </c>
    </row>
    <row r="10" spans="1:5" x14ac:dyDescent="0.25">
      <c r="A10" s="2">
        <v>4</v>
      </c>
      <c r="B10" s="2">
        <v>73</v>
      </c>
      <c r="C10" s="2">
        <f t="shared" si="0"/>
        <v>-15.428571428571427</v>
      </c>
      <c r="D10" s="2">
        <f t="shared" si="1"/>
        <v>0.3571428571428612</v>
      </c>
      <c r="E10" s="2">
        <f t="shared" si="2"/>
        <v>-5.5102040816327156</v>
      </c>
    </row>
    <row r="11" spans="1:5" x14ac:dyDescent="0.25">
      <c r="A11" s="2">
        <v>26</v>
      </c>
      <c r="B11" s="2">
        <v>79</v>
      </c>
      <c r="C11" s="2">
        <f t="shared" si="0"/>
        <v>6.571428571428573</v>
      </c>
      <c r="D11" s="2">
        <f t="shared" si="1"/>
        <v>6.3571428571428612</v>
      </c>
      <c r="E11" s="2">
        <f t="shared" si="2"/>
        <v>41.775510204081669</v>
      </c>
    </row>
    <row r="12" spans="1:5" x14ac:dyDescent="0.25">
      <c r="A12" s="2">
        <v>11</v>
      </c>
      <c r="B12" s="2">
        <v>81</v>
      </c>
      <c r="C12" s="2">
        <f t="shared" si="0"/>
        <v>-8.428571428571427</v>
      </c>
      <c r="D12" s="2">
        <f t="shared" si="1"/>
        <v>8.3571428571428612</v>
      </c>
      <c r="E12" s="2">
        <f t="shared" si="2"/>
        <v>-70.43877551020411</v>
      </c>
    </row>
    <row r="13" spans="1:5" x14ac:dyDescent="0.25">
      <c r="A13" s="2">
        <v>14</v>
      </c>
      <c r="B13" s="2">
        <v>68</v>
      </c>
      <c r="C13" s="2">
        <f t="shared" si="0"/>
        <v>-5.428571428571427</v>
      </c>
      <c r="D13" s="2">
        <f t="shared" si="1"/>
        <v>-4.6428571428571388</v>
      </c>
      <c r="E13" s="2">
        <f t="shared" si="2"/>
        <v>25.204081632653033</v>
      </c>
    </row>
    <row r="14" spans="1:5" x14ac:dyDescent="0.25">
      <c r="A14" s="2">
        <v>35</v>
      </c>
      <c r="B14" s="2">
        <v>58</v>
      </c>
      <c r="C14" s="2">
        <f t="shared" si="0"/>
        <v>15.571428571428573</v>
      </c>
      <c r="D14" s="2">
        <f t="shared" si="1"/>
        <v>-14.642857142857139</v>
      </c>
      <c r="E14" s="2">
        <f t="shared" si="2"/>
        <v>-228.01020408163262</v>
      </c>
    </row>
    <row r="15" spans="1:5" x14ac:dyDescent="0.25">
      <c r="A15" s="2">
        <v>29</v>
      </c>
      <c r="B15" s="2">
        <v>58</v>
      </c>
      <c r="C15" s="2">
        <f t="shared" si="0"/>
        <v>9.571428571428573</v>
      </c>
      <c r="D15" s="2">
        <f t="shared" si="1"/>
        <v>-14.642857142857139</v>
      </c>
      <c r="E15" s="2">
        <f t="shared" si="2"/>
        <v>-140.15306122448979</v>
      </c>
    </row>
    <row r="16" spans="1:5" x14ac:dyDescent="0.25">
      <c r="A16" s="2">
        <v>4</v>
      </c>
      <c r="B16" s="2">
        <v>92</v>
      </c>
      <c r="C16" s="2">
        <f t="shared" si="0"/>
        <v>-15.428571428571427</v>
      </c>
      <c r="D16" s="2">
        <f t="shared" si="1"/>
        <v>19.357142857142861</v>
      </c>
      <c r="E16" s="2">
        <f t="shared" si="2"/>
        <v>-298.65306122448982</v>
      </c>
    </row>
    <row r="17" spans="1:5" x14ac:dyDescent="0.25">
      <c r="A17" s="2">
        <v>23</v>
      </c>
      <c r="B17" s="2">
        <v>68</v>
      </c>
      <c r="C17" s="2">
        <f t="shared" si="0"/>
        <v>3.571428571428573</v>
      </c>
      <c r="D17" s="2">
        <f t="shared" si="1"/>
        <v>-4.6428571428571388</v>
      </c>
      <c r="E17" s="2">
        <f t="shared" si="2"/>
        <v>-16.581632653061217</v>
      </c>
    </row>
    <row r="18" spans="1:5" x14ac:dyDescent="0.25">
      <c r="A18" s="1" t="s">
        <v>7</v>
      </c>
      <c r="B18" s="1" t="s">
        <v>8</v>
      </c>
      <c r="C18" s="1" t="s">
        <v>9</v>
      </c>
      <c r="D18" s="2">
        <f>AVERAGE(E4:E17)</f>
        <v>-112.20408163265309</v>
      </c>
      <c r="E18" s="2" t="s">
        <v>10</v>
      </c>
    </row>
    <row r="19" spans="1:5" x14ac:dyDescent="0.25">
      <c r="A19" s="2">
        <f>AVERAGE(A4:A17)</f>
        <v>19.428571428571427</v>
      </c>
      <c r="B19" s="2">
        <f>AVERAGE(B4:B17)</f>
        <v>72.642857142857139</v>
      </c>
      <c r="C19" s="1" t="s">
        <v>9</v>
      </c>
      <c r="D19" s="2">
        <f>_xlfn.COVARIANCE.S(A4:A17,B4:B17)</f>
        <v>-120.83516483516486</v>
      </c>
      <c r="E19" s="2" t="s">
        <v>11</v>
      </c>
    </row>
    <row r="20" spans="1:5" ht="25.5" customHeight="1" x14ac:dyDescent="0.25"/>
    <row r="21" spans="1:5" ht="15.75" x14ac:dyDescent="0.25">
      <c r="A21" s="7" t="s">
        <v>12</v>
      </c>
      <c r="B21" s="7"/>
      <c r="C21" s="7"/>
      <c r="D21" s="7"/>
      <c r="E21" s="7"/>
    </row>
    <row r="22" spans="1:5" x14ac:dyDescent="0.2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</row>
    <row r="23" spans="1:5" x14ac:dyDescent="0.25">
      <c r="A23" s="2">
        <v>22</v>
      </c>
      <c r="B23" s="2">
        <v>19</v>
      </c>
      <c r="C23" s="2">
        <f>A23-$A$32</f>
        <v>-8</v>
      </c>
      <c r="D23" s="2">
        <f>B23-$B$32</f>
        <v>-6</v>
      </c>
      <c r="E23" s="2">
        <f>C23*D23</f>
        <v>48</v>
      </c>
    </row>
    <row r="24" spans="1:5" x14ac:dyDescent="0.25">
      <c r="A24" s="2">
        <v>26</v>
      </c>
      <c r="B24" s="2">
        <v>21</v>
      </c>
      <c r="C24" s="2">
        <f t="shared" ref="C24:C30" si="3">A24-$A$32</f>
        <v>-4</v>
      </c>
      <c r="D24" s="2">
        <f t="shared" ref="D24:D30" si="4">B24-$B$32</f>
        <v>-4</v>
      </c>
      <c r="E24" s="2">
        <f>C24*D24</f>
        <v>16</v>
      </c>
    </row>
    <row r="25" spans="1:5" x14ac:dyDescent="0.25">
      <c r="A25" s="2">
        <v>29</v>
      </c>
      <c r="B25" s="2">
        <v>22</v>
      </c>
      <c r="C25" s="2">
        <f t="shared" si="3"/>
        <v>-1</v>
      </c>
      <c r="D25" s="2">
        <f t="shared" si="4"/>
        <v>-3</v>
      </c>
      <c r="E25" s="2">
        <f t="shared" ref="E25:E30" si="5">C25*D25</f>
        <v>3</v>
      </c>
    </row>
    <row r="26" spans="1:5" x14ac:dyDescent="0.25">
      <c r="A26" s="2">
        <v>30</v>
      </c>
      <c r="B26" s="2">
        <v>29</v>
      </c>
      <c r="C26" s="2">
        <f t="shared" si="3"/>
        <v>0</v>
      </c>
      <c r="D26" s="2">
        <f t="shared" si="4"/>
        <v>4</v>
      </c>
      <c r="E26" s="2">
        <f t="shared" si="5"/>
        <v>0</v>
      </c>
    </row>
    <row r="27" spans="1:5" x14ac:dyDescent="0.25">
      <c r="A27" s="2">
        <v>31</v>
      </c>
      <c r="B27" s="2">
        <v>27</v>
      </c>
      <c r="C27" s="2">
        <f t="shared" si="3"/>
        <v>1</v>
      </c>
      <c r="D27" s="2">
        <f t="shared" si="4"/>
        <v>2</v>
      </c>
      <c r="E27" s="2">
        <f t="shared" si="5"/>
        <v>2</v>
      </c>
    </row>
    <row r="28" spans="1:5" x14ac:dyDescent="0.25">
      <c r="A28" s="2">
        <v>33</v>
      </c>
      <c r="B28" s="2">
        <v>24</v>
      </c>
      <c r="C28" s="2">
        <f t="shared" si="3"/>
        <v>3</v>
      </c>
      <c r="D28" s="2">
        <f t="shared" si="4"/>
        <v>-1</v>
      </c>
      <c r="E28" s="2">
        <f t="shared" si="5"/>
        <v>-3</v>
      </c>
    </row>
    <row r="29" spans="1:5" x14ac:dyDescent="0.25">
      <c r="A29" s="2">
        <v>34</v>
      </c>
      <c r="B29" s="2">
        <v>27</v>
      </c>
      <c r="C29" s="2">
        <f t="shared" si="3"/>
        <v>4</v>
      </c>
      <c r="D29" s="2">
        <f t="shared" si="4"/>
        <v>2</v>
      </c>
      <c r="E29" s="2">
        <f t="shared" si="5"/>
        <v>8</v>
      </c>
    </row>
    <row r="30" spans="1:5" x14ac:dyDescent="0.25">
      <c r="A30" s="2">
        <v>35</v>
      </c>
      <c r="B30" s="2">
        <v>31</v>
      </c>
      <c r="C30" s="2">
        <f t="shared" si="3"/>
        <v>5</v>
      </c>
      <c r="D30" s="2">
        <f t="shared" si="4"/>
        <v>6</v>
      </c>
      <c r="E30" s="2">
        <f t="shared" si="5"/>
        <v>30</v>
      </c>
    </row>
    <row r="31" spans="1:5" x14ac:dyDescent="0.25">
      <c r="A31" s="1" t="s">
        <v>7</v>
      </c>
      <c r="B31" s="1" t="s">
        <v>8</v>
      </c>
      <c r="C31" s="1" t="s">
        <v>9</v>
      </c>
      <c r="D31" s="2">
        <f>AVERAGE(E23:E30)</f>
        <v>13</v>
      </c>
      <c r="E31" s="2" t="s">
        <v>13</v>
      </c>
    </row>
    <row r="32" spans="1:5" x14ac:dyDescent="0.25">
      <c r="A32" s="2">
        <f>AVERAGE(A23:A30)</f>
        <v>30</v>
      </c>
      <c r="B32" s="2">
        <f>AVERAGE(B23:B30)</f>
        <v>25</v>
      </c>
      <c r="C32" s="1" t="s">
        <v>9</v>
      </c>
      <c r="D32" s="2">
        <f>_xlfn.COVARIANCE.S(A23:A30,B23:B30)</f>
        <v>14.857142857142858</v>
      </c>
      <c r="E32" s="2" t="s">
        <v>14</v>
      </c>
    </row>
    <row r="33" spans="1:5" ht="27.75" customHeight="1" x14ac:dyDescent="0.25"/>
    <row r="34" spans="1:5" ht="15.75" x14ac:dyDescent="0.25">
      <c r="A34" s="7" t="s">
        <v>15</v>
      </c>
      <c r="B34" s="7"/>
      <c r="C34" s="7"/>
      <c r="D34" s="7"/>
      <c r="E34" s="7"/>
    </row>
    <row r="35" spans="1:5" x14ac:dyDescent="0.25">
      <c r="A35" s="1" t="s">
        <v>2</v>
      </c>
      <c r="B35" s="1" t="s">
        <v>3</v>
      </c>
      <c r="C35" s="1" t="s">
        <v>4</v>
      </c>
      <c r="D35" s="1" t="s">
        <v>5</v>
      </c>
      <c r="E35" s="1" t="s">
        <v>6</v>
      </c>
    </row>
    <row r="36" spans="1:5" x14ac:dyDescent="0.25">
      <c r="A36" s="2">
        <v>1</v>
      </c>
      <c r="B36" s="2">
        <v>3</v>
      </c>
      <c r="C36" s="2">
        <f>A36-$A$46</f>
        <v>-3.8888888888888893</v>
      </c>
      <c r="D36" s="2">
        <f>B36-$B$46</f>
        <v>-1.8888888888888893</v>
      </c>
      <c r="E36" s="2">
        <f>C36*D36</f>
        <v>7.3456790123456814</v>
      </c>
    </row>
    <row r="37" spans="1:5" x14ac:dyDescent="0.25">
      <c r="A37" s="2">
        <v>3</v>
      </c>
      <c r="B37" s="2">
        <v>6</v>
      </c>
      <c r="C37" s="2">
        <f t="shared" ref="C37:C44" si="6">A37-$A$46</f>
        <v>-1.8888888888888893</v>
      </c>
      <c r="D37" s="2">
        <f t="shared" ref="D37:D44" si="7">B37-$B$46</f>
        <v>1.1111111111111107</v>
      </c>
      <c r="E37" s="2">
        <f>C37*D37</f>
        <v>-2.098765432098765</v>
      </c>
    </row>
    <row r="38" spans="1:5" x14ac:dyDescent="0.25">
      <c r="A38" s="2">
        <v>2</v>
      </c>
      <c r="B38" s="2">
        <v>9</v>
      </c>
      <c r="C38" s="2">
        <f t="shared" si="6"/>
        <v>-2.8888888888888893</v>
      </c>
      <c r="D38" s="2">
        <f t="shared" si="7"/>
        <v>4.1111111111111107</v>
      </c>
      <c r="E38" s="2">
        <f t="shared" ref="E38:E44" si="8">C38*D38</f>
        <v>-11.876543209876544</v>
      </c>
    </row>
    <row r="39" spans="1:5" x14ac:dyDescent="0.25">
      <c r="A39" s="2">
        <v>5</v>
      </c>
      <c r="B39" s="2">
        <v>4</v>
      </c>
      <c r="C39" s="2">
        <f t="shared" si="6"/>
        <v>0.11111111111111072</v>
      </c>
      <c r="D39" s="2">
        <f t="shared" si="7"/>
        <v>-0.88888888888888928</v>
      </c>
      <c r="E39" s="2">
        <f t="shared" si="8"/>
        <v>-9.8765432098765121E-2</v>
      </c>
    </row>
    <row r="40" spans="1:5" x14ac:dyDescent="0.25">
      <c r="A40" s="2">
        <v>8</v>
      </c>
      <c r="B40" s="2">
        <v>3</v>
      </c>
      <c r="C40" s="2">
        <f>A40-$A$46</f>
        <v>3.1111111111111107</v>
      </c>
      <c r="D40" s="2">
        <f t="shared" si="7"/>
        <v>-1.8888888888888893</v>
      </c>
      <c r="E40" s="2">
        <f t="shared" si="8"/>
        <v>-5.8765432098765435</v>
      </c>
    </row>
    <row r="41" spans="1:5" x14ac:dyDescent="0.25">
      <c r="A41" s="2">
        <v>7</v>
      </c>
      <c r="B41" s="2">
        <v>3</v>
      </c>
      <c r="C41" s="2">
        <f t="shared" si="6"/>
        <v>2.1111111111111107</v>
      </c>
      <c r="D41" s="2">
        <f t="shared" si="7"/>
        <v>-1.8888888888888893</v>
      </c>
      <c r="E41" s="2">
        <f t="shared" si="8"/>
        <v>-3.9876543209876543</v>
      </c>
    </row>
    <row r="42" spans="1:5" x14ac:dyDescent="0.25">
      <c r="A42" s="2">
        <v>12</v>
      </c>
      <c r="B42" s="2">
        <v>2</v>
      </c>
      <c r="C42" s="2">
        <f t="shared" si="6"/>
        <v>7.1111111111111107</v>
      </c>
      <c r="D42" s="2">
        <f t="shared" si="7"/>
        <v>-2.8888888888888893</v>
      </c>
      <c r="E42" s="2">
        <f t="shared" si="8"/>
        <v>-20.543209876543212</v>
      </c>
    </row>
    <row r="43" spans="1:5" x14ac:dyDescent="0.25">
      <c r="A43" s="2">
        <v>2</v>
      </c>
      <c r="B43" s="2">
        <v>7</v>
      </c>
      <c r="C43" s="2">
        <f t="shared" si="6"/>
        <v>-2.8888888888888893</v>
      </c>
      <c r="D43" s="2">
        <f t="shared" si="7"/>
        <v>2.1111111111111107</v>
      </c>
      <c r="E43" s="2">
        <f t="shared" si="8"/>
        <v>-6.098765432098765</v>
      </c>
    </row>
    <row r="44" spans="1:5" x14ac:dyDescent="0.25">
      <c r="A44" s="2">
        <v>4</v>
      </c>
      <c r="B44" s="2">
        <v>7</v>
      </c>
      <c r="C44" s="2">
        <f t="shared" si="6"/>
        <v>-0.88888888888888928</v>
      </c>
      <c r="D44" s="2">
        <f t="shared" si="7"/>
        <v>2.1111111111111107</v>
      </c>
      <c r="E44" s="2">
        <f t="shared" si="8"/>
        <v>-1.8765432098765438</v>
      </c>
    </row>
    <row r="45" spans="1:5" x14ac:dyDescent="0.25">
      <c r="A45" s="1" t="s">
        <v>7</v>
      </c>
      <c r="B45" s="1" t="s">
        <v>8</v>
      </c>
      <c r="C45" s="1" t="s">
        <v>9</v>
      </c>
      <c r="D45" s="2">
        <f>AVERAGE(E36:E44)</f>
        <v>-5.0123456790123457</v>
      </c>
      <c r="E45" s="2" t="s">
        <v>16</v>
      </c>
    </row>
    <row r="46" spans="1:5" x14ac:dyDescent="0.25">
      <c r="A46" s="2">
        <f>AVERAGE(A36:A44)</f>
        <v>4.8888888888888893</v>
      </c>
      <c r="B46" s="2">
        <f>AVERAGE(B36:B44)</f>
        <v>4.8888888888888893</v>
      </c>
      <c r="C46" s="1" t="s">
        <v>9</v>
      </c>
      <c r="D46" s="2">
        <f>_xlfn.COVARIANCE.S(A36:A44,B36:B44)</f>
        <v>-5.6388888888888893</v>
      </c>
      <c r="E46" s="2" t="s">
        <v>17</v>
      </c>
    </row>
  </sheetData>
  <mergeCells count="4">
    <mergeCell ref="A1:E1"/>
    <mergeCell ref="A2:E2"/>
    <mergeCell ref="A21:E21"/>
    <mergeCell ref="A34:E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2026-03-03T09:55:24Z</dcterms:created>
  <dcterms:modified xsi:type="dcterms:W3CDTF">2026-03-03T10:12:22Z</dcterms:modified>
</cp:coreProperties>
</file>