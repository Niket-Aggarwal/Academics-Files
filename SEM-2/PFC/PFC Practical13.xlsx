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"/>
    </mc:Choice>
  </mc:AlternateContent>
  <xr:revisionPtr revIDLastSave="0" documentId="8_{7924DD9F-EEAC-43B4-B419-62F5D640DBC9}" xr6:coauthVersionLast="47" xr6:coauthVersionMax="47" xr10:uidLastSave="{00000000-0000-0000-0000-000000000000}"/>
  <bookViews>
    <workbookView xWindow="-120" yWindow="-120" windowWidth="20730" windowHeight="11040" xr2:uid="{BBA90572-54D7-4C2C-A0D4-62C016F36572}"/>
  </bookViews>
  <sheets>
    <sheet name="Practical1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1" l="1"/>
  <c r="B31" i="1"/>
  <c r="A31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F31" i="1" s="1"/>
  <c r="E22" i="1"/>
  <c r="D22" i="1"/>
  <c r="C22" i="1"/>
  <c r="G21" i="1"/>
  <c r="F21" i="1"/>
  <c r="E21" i="1"/>
  <c r="D21" i="1"/>
  <c r="C21" i="1"/>
  <c r="G20" i="1"/>
  <c r="G31" i="1" s="1"/>
  <c r="F20" i="1"/>
  <c r="E20" i="1"/>
  <c r="D20" i="1"/>
  <c r="C20" i="1"/>
  <c r="B15" i="1"/>
  <c r="A15" i="1"/>
  <c r="F13" i="1"/>
  <c r="D13" i="1"/>
  <c r="C13" i="1"/>
  <c r="E13" i="1" s="1"/>
  <c r="G12" i="1"/>
  <c r="E12" i="1"/>
  <c r="D12" i="1"/>
  <c r="F12" i="1" s="1"/>
  <c r="C12" i="1"/>
  <c r="E11" i="1"/>
  <c r="D11" i="1"/>
  <c r="G11" i="1" s="1"/>
  <c r="C11" i="1"/>
  <c r="G10" i="1"/>
  <c r="F10" i="1"/>
  <c r="E10" i="1"/>
  <c r="D10" i="1"/>
  <c r="C10" i="1"/>
  <c r="F9" i="1"/>
  <c r="D9" i="1"/>
  <c r="C9" i="1"/>
  <c r="E9" i="1" s="1"/>
  <c r="G8" i="1"/>
  <c r="E8" i="1"/>
  <c r="D8" i="1"/>
  <c r="F8" i="1" s="1"/>
  <c r="C8" i="1"/>
  <c r="E7" i="1"/>
  <c r="D7" i="1"/>
  <c r="G7" i="1" s="1"/>
  <c r="C7" i="1"/>
  <c r="E15" i="1" l="1"/>
  <c r="D32" i="1"/>
  <c r="G9" i="1"/>
  <c r="G15" i="1" s="1"/>
  <c r="D16" i="1" s="1"/>
  <c r="G13" i="1"/>
  <c r="F11" i="1"/>
  <c r="F7" i="1"/>
  <c r="F15" i="1" s="1"/>
</calcChain>
</file>

<file path=xl/sharedStrings.xml><?xml version="1.0" encoding="utf-8"?>
<sst xmlns="http://schemas.openxmlformats.org/spreadsheetml/2006/main" count="33" uniqueCount="19">
  <si>
    <t>Karl Pearson's Correlation Coefficients</t>
  </si>
  <si>
    <t>r=(sum((x-x')(y-y')))/(sqrt(sum((x-x')2))sqrt(sum((y-y')2)))</t>
  </si>
  <si>
    <t>x' and y' are mean of x and y respectively</t>
  </si>
  <si>
    <t>Q1-</t>
  </si>
  <si>
    <t>x</t>
  </si>
  <si>
    <t>y</t>
  </si>
  <si>
    <t>x-x'</t>
  </si>
  <si>
    <t>y-y'</t>
  </si>
  <si>
    <t>(x-x')2</t>
  </si>
  <si>
    <t>(y-y')2</t>
  </si>
  <si>
    <t>(x-x')*(y-y')</t>
  </si>
  <si>
    <t>x'</t>
  </si>
  <si>
    <t>y'</t>
  </si>
  <si>
    <t>Ans</t>
  </si>
  <si>
    <t xml:space="preserve">sum((x-x')2) </t>
  </si>
  <si>
    <t xml:space="preserve">sum((y-y')2) </t>
  </si>
  <si>
    <t xml:space="preserve">sum((x-x')*(y-y')) </t>
  </si>
  <si>
    <t>r</t>
  </si>
  <si>
    <t>Q2-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</si>
</sst>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6D43-4B70-47CB-9213-279064EDD520}">
  <dimension ref="A1:G32"/>
  <sheetViews>
    <sheetView tabSelected="1" zoomScale="115" zoomScaleNormal="115" workbookViewId="0">
      <selection activeCell="J11" sqref="J11"/>
    </sheetView>
  </sheetViews>
  <sheetFormatPr defaultRowHeight="15" x14ac:dyDescent="0.25"/>
  <cols>
    <col min="5" max="5" width="13" customWidth="1"/>
    <col min="6" max="6" width="11.7109375" customWidth="1"/>
    <col min="7" max="7" width="16.7109375" customWidth="1"/>
  </cols>
  <sheetData>
    <row r="1" spans="1:7" ht="19.5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3</v>
      </c>
      <c r="B5" s="6"/>
      <c r="C5" s="6"/>
      <c r="D5" s="6"/>
      <c r="E5" s="6"/>
      <c r="F5" s="6"/>
      <c r="G5" s="7"/>
    </row>
    <row r="6" spans="1:7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</row>
    <row r="7" spans="1:7" x14ac:dyDescent="0.25">
      <c r="A7" s="9">
        <v>12</v>
      </c>
      <c r="B7" s="9">
        <v>6</v>
      </c>
      <c r="C7" s="9">
        <f>A7-$A$15</f>
        <v>-12</v>
      </c>
      <c r="D7" s="9">
        <f>B7-$B$15</f>
        <v>-9</v>
      </c>
      <c r="E7" s="9">
        <f>C7*C7</f>
        <v>144</v>
      </c>
      <c r="F7" s="9">
        <f>D7*D7</f>
        <v>81</v>
      </c>
      <c r="G7" s="9">
        <f>C7*D7</f>
        <v>108</v>
      </c>
    </row>
    <row r="8" spans="1:7" x14ac:dyDescent="0.25">
      <c r="A8" s="9">
        <v>16</v>
      </c>
      <c r="B8" s="9">
        <v>9</v>
      </c>
      <c r="C8" s="9">
        <f t="shared" ref="C8:C13" si="0">A8-$A$15</f>
        <v>-8</v>
      </c>
      <c r="D8" s="9">
        <f t="shared" ref="D8:D13" si="1">B8-$B$15</f>
        <v>-6</v>
      </c>
      <c r="E8" s="9">
        <f t="shared" ref="E8:F13" si="2">C8*C8</f>
        <v>64</v>
      </c>
      <c r="F8" s="9">
        <f t="shared" si="2"/>
        <v>36</v>
      </c>
      <c r="G8" s="9">
        <f t="shared" ref="G8:G13" si="3">C8*D8</f>
        <v>48</v>
      </c>
    </row>
    <row r="9" spans="1:7" x14ac:dyDescent="0.25">
      <c r="A9" s="9">
        <v>20</v>
      </c>
      <c r="B9" s="9">
        <v>12</v>
      </c>
      <c r="C9" s="9">
        <f t="shared" si="0"/>
        <v>-4</v>
      </c>
      <c r="D9" s="9">
        <f t="shared" si="1"/>
        <v>-3</v>
      </c>
      <c r="E9" s="9">
        <f t="shared" si="2"/>
        <v>16</v>
      </c>
      <c r="F9" s="9">
        <f t="shared" si="2"/>
        <v>9</v>
      </c>
      <c r="G9" s="9">
        <f t="shared" si="3"/>
        <v>12</v>
      </c>
    </row>
    <row r="10" spans="1:7" x14ac:dyDescent="0.25">
      <c r="A10" s="9">
        <v>24</v>
      </c>
      <c r="B10" s="9">
        <v>15</v>
      </c>
      <c r="C10" s="9">
        <f t="shared" si="0"/>
        <v>0</v>
      </c>
      <c r="D10" s="9">
        <f t="shared" si="1"/>
        <v>0</v>
      </c>
      <c r="E10" s="9">
        <f t="shared" si="2"/>
        <v>0</v>
      </c>
      <c r="F10" s="9">
        <f t="shared" si="2"/>
        <v>0</v>
      </c>
      <c r="G10" s="9">
        <f t="shared" si="3"/>
        <v>0</v>
      </c>
    </row>
    <row r="11" spans="1:7" x14ac:dyDescent="0.25">
      <c r="A11" s="9">
        <v>28</v>
      </c>
      <c r="B11" s="9">
        <v>18</v>
      </c>
      <c r="C11" s="9">
        <f t="shared" si="0"/>
        <v>4</v>
      </c>
      <c r="D11" s="9">
        <f t="shared" si="1"/>
        <v>3</v>
      </c>
      <c r="E11" s="9">
        <f t="shared" si="2"/>
        <v>16</v>
      </c>
      <c r="F11" s="9">
        <f t="shared" si="2"/>
        <v>9</v>
      </c>
      <c r="G11" s="9">
        <f t="shared" si="3"/>
        <v>12</v>
      </c>
    </row>
    <row r="12" spans="1:7" x14ac:dyDescent="0.25">
      <c r="A12" s="9">
        <v>32</v>
      </c>
      <c r="B12" s="9">
        <v>21</v>
      </c>
      <c r="C12" s="9">
        <f t="shared" si="0"/>
        <v>8</v>
      </c>
      <c r="D12" s="9">
        <f t="shared" si="1"/>
        <v>6</v>
      </c>
      <c r="E12" s="9">
        <f t="shared" si="2"/>
        <v>64</v>
      </c>
      <c r="F12" s="9">
        <f t="shared" si="2"/>
        <v>36</v>
      </c>
      <c r="G12" s="9">
        <f t="shared" si="3"/>
        <v>48</v>
      </c>
    </row>
    <row r="13" spans="1:7" x14ac:dyDescent="0.25">
      <c r="A13" s="9">
        <v>36</v>
      </c>
      <c r="B13" s="9">
        <v>24</v>
      </c>
      <c r="C13" s="9">
        <f t="shared" si="0"/>
        <v>12</v>
      </c>
      <c r="D13" s="9">
        <f t="shared" si="1"/>
        <v>9</v>
      </c>
      <c r="E13" s="9">
        <f t="shared" si="2"/>
        <v>144</v>
      </c>
      <c r="F13" s="9">
        <f t="shared" si="2"/>
        <v>81</v>
      </c>
      <c r="G13" s="9">
        <f t="shared" si="3"/>
        <v>108</v>
      </c>
    </row>
    <row r="14" spans="1:7" x14ac:dyDescent="0.25">
      <c r="A14" s="8" t="s">
        <v>11</v>
      </c>
      <c r="B14" s="8" t="s">
        <v>12</v>
      </c>
      <c r="C14" s="10" t="s">
        <v>13</v>
      </c>
      <c r="D14" s="11"/>
      <c r="E14" s="8" t="s">
        <v>14</v>
      </c>
      <c r="F14" s="8" t="s">
        <v>15</v>
      </c>
      <c r="G14" s="8" t="s">
        <v>16</v>
      </c>
    </row>
    <row r="15" spans="1:7" x14ac:dyDescent="0.25">
      <c r="A15" s="9">
        <f>AVERAGE(A7:A13)</f>
        <v>24</v>
      </c>
      <c r="B15" s="9">
        <f>AVERAGE(B7:B13)</f>
        <v>15</v>
      </c>
      <c r="C15" s="12"/>
      <c r="D15" s="13"/>
      <c r="E15" s="9">
        <f>SUM(E7:E13)</f>
        <v>448</v>
      </c>
      <c r="F15" s="9">
        <f>SUM(F7:F13)</f>
        <v>252</v>
      </c>
      <c r="G15" s="9">
        <f>SUM(G7:G13)</f>
        <v>336</v>
      </c>
    </row>
    <row r="16" spans="1:7" x14ac:dyDescent="0.25">
      <c r="A16" s="14"/>
      <c r="B16" s="15"/>
      <c r="C16" s="8" t="s">
        <v>17</v>
      </c>
      <c r="D16" s="9">
        <f>(G15/(SQRT(E15)*SQRT(F15)))</f>
        <v>0.99999999999999978</v>
      </c>
      <c r="E16" s="14"/>
      <c r="F16" s="16"/>
      <c r="G16" s="15"/>
    </row>
    <row r="17" spans="1:7" ht="21.75" customHeight="1" x14ac:dyDescent="0.25"/>
    <row r="18" spans="1:7" x14ac:dyDescent="0.25">
      <c r="A18" s="17" t="s">
        <v>18</v>
      </c>
      <c r="B18" s="17"/>
      <c r="C18" s="17"/>
      <c r="D18" s="17"/>
      <c r="E18" s="17"/>
      <c r="F18" s="17"/>
      <c r="G18" s="17"/>
    </row>
    <row r="19" spans="1:7" x14ac:dyDescent="0.25">
      <c r="A19" s="8" t="s">
        <v>4</v>
      </c>
      <c r="B19" s="8" t="s">
        <v>5</v>
      </c>
      <c r="C19" s="8" t="s">
        <v>6</v>
      </c>
      <c r="D19" s="8" t="s">
        <v>7</v>
      </c>
      <c r="E19" s="8" t="s">
        <v>8</v>
      </c>
      <c r="F19" s="8" t="s">
        <v>9</v>
      </c>
      <c r="G19" s="8" t="s">
        <v>10</v>
      </c>
    </row>
    <row r="20" spans="1:7" x14ac:dyDescent="0.25">
      <c r="A20" s="9">
        <v>1.1000000000000001</v>
      </c>
      <c r="B20" s="9">
        <v>5.7</v>
      </c>
      <c r="C20" s="9">
        <f>A20-$A$31</f>
        <v>-0.39999999999999991</v>
      </c>
      <c r="D20" s="9">
        <f>B20-$B$31</f>
        <v>0.17000000000000082</v>
      </c>
      <c r="E20" s="9">
        <f>C20*C20</f>
        <v>0.15999999999999992</v>
      </c>
      <c r="F20" s="9">
        <f>D20*D20</f>
        <v>2.8900000000000276E-2</v>
      </c>
      <c r="G20" s="9">
        <f>C20*D20</f>
        <v>-6.800000000000031E-2</v>
      </c>
    </row>
    <row r="21" spans="1:7" x14ac:dyDescent="0.25">
      <c r="A21" s="9">
        <v>1.2</v>
      </c>
      <c r="B21" s="9">
        <v>6.3</v>
      </c>
      <c r="C21" s="9">
        <f t="shared" ref="C21:C29" si="4">A21-$A$31</f>
        <v>-0.30000000000000004</v>
      </c>
      <c r="D21" s="9">
        <f t="shared" ref="D21:D29" si="5">B21-$B$31</f>
        <v>0.77000000000000046</v>
      </c>
      <c r="E21" s="9">
        <f t="shared" ref="E21:F29" si="6">C21*C21</f>
        <v>9.0000000000000024E-2</v>
      </c>
      <c r="F21" s="9">
        <f t="shared" si="6"/>
        <v>0.59290000000000076</v>
      </c>
      <c r="G21" s="9">
        <f t="shared" ref="G21:G29" si="7">C21*D21</f>
        <v>-0.23100000000000018</v>
      </c>
    </row>
    <row r="22" spans="1:7" x14ac:dyDescent="0.25">
      <c r="A22" s="9">
        <v>1.3</v>
      </c>
      <c r="B22" s="9">
        <v>8.1999999999999993</v>
      </c>
      <c r="C22" s="9">
        <f t="shared" si="4"/>
        <v>-0.19999999999999996</v>
      </c>
      <c r="D22" s="9">
        <f t="shared" si="5"/>
        <v>2.67</v>
      </c>
      <c r="E22" s="9">
        <f t="shared" si="6"/>
        <v>3.999999999999998E-2</v>
      </c>
      <c r="F22" s="9">
        <f t="shared" si="6"/>
        <v>7.1288999999999998</v>
      </c>
      <c r="G22" s="9">
        <f t="shared" si="7"/>
        <v>-0.53399999999999992</v>
      </c>
    </row>
    <row r="23" spans="1:7" x14ac:dyDescent="0.25">
      <c r="A23" s="9">
        <v>1.4</v>
      </c>
      <c r="B23" s="9">
        <v>4.3</v>
      </c>
      <c r="C23" s="9">
        <f t="shared" si="4"/>
        <v>-0.10000000000000009</v>
      </c>
      <c r="D23" s="9">
        <f t="shared" si="5"/>
        <v>-1.2299999999999995</v>
      </c>
      <c r="E23" s="9">
        <f t="shared" si="6"/>
        <v>1.0000000000000018E-2</v>
      </c>
      <c r="F23" s="9">
        <f t="shared" si="6"/>
        <v>1.5128999999999988</v>
      </c>
      <c r="G23" s="9">
        <f t="shared" si="7"/>
        <v>0.12300000000000007</v>
      </c>
    </row>
    <row r="24" spans="1:7" x14ac:dyDescent="0.25">
      <c r="A24" s="9">
        <v>1.5</v>
      </c>
      <c r="B24" s="9">
        <v>4.7</v>
      </c>
      <c r="C24" s="9">
        <f t="shared" si="4"/>
        <v>0</v>
      </c>
      <c r="D24" s="9">
        <f t="shared" si="5"/>
        <v>-0.82999999999999918</v>
      </c>
      <c r="E24" s="9">
        <f t="shared" si="6"/>
        <v>0</v>
      </c>
      <c r="F24" s="9">
        <f t="shared" si="6"/>
        <v>0.68889999999999862</v>
      </c>
      <c r="G24" s="9">
        <f t="shared" si="7"/>
        <v>0</v>
      </c>
    </row>
    <row r="25" spans="1:7" x14ac:dyDescent="0.25">
      <c r="A25" s="9">
        <v>1.6</v>
      </c>
      <c r="B25" s="9">
        <v>3.8</v>
      </c>
      <c r="C25" s="9">
        <f t="shared" si="4"/>
        <v>0.10000000000000009</v>
      </c>
      <c r="D25" s="9">
        <f t="shared" si="5"/>
        <v>-1.7299999999999995</v>
      </c>
      <c r="E25" s="9">
        <f t="shared" si="6"/>
        <v>1.0000000000000018E-2</v>
      </c>
      <c r="F25" s="9">
        <f t="shared" si="6"/>
        <v>2.9928999999999983</v>
      </c>
      <c r="G25" s="9">
        <f t="shared" si="7"/>
        <v>-0.1730000000000001</v>
      </c>
    </row>
    <row r="26" spans="1:7" x14ac:dyDescent="0.25">
      <c r="A26" s="9">
        <v>1.7</v>
      </c>
      <c r="B26" s="9">
        <v>5.8</v>
      </c>
      <c r="C26" s="9">
        <f t="shared" si="4"/>
        <v>0.19999999999999996</v>
      </c>
      <c r="D26" s="9">
        <f t="shared" si="5"/>
        <v>0.27000000000000046</v>
      </c>
      <c r="E26" s="9">
        <f t="shared" si="6"/>
        <v>3.999999999999998E-2</v>
      </c>
      <c r="F26" s="9">
        <f t="shared" si="6"/>
        <v>7.2900000000000256E-2</v>
      </c>
      <c r="G26" s="9">
        <f t="shared" si="7"/>
        <v>5.4000000000000083E-2</v>
      </c>
    </row>
    <row r="27" spans="1:7" x14ac:dyDescent="0.25">
      <c r="A27" s="9">
        <v>1.8</v>
      </c>
      <c r="B27" s="9">
        <v>6.9</v>
      </c>
      <c r="C27" s="9">
        <f t="shared" si="4"/>
        <v>0.30000000000000004</v>
      </c>
      <c r="D27" s="9">
        <f t="shared" si="5"/>
        <v>1.370000000000001</v>
      </c>
      <c r="E27" s="9">
        <f t="shared" si="6"/>
        <v>9.0000000000000024E-2</v>
      </c>
      <c r="F27" s="9">
        <f t="shared" si="6"/>
        <v>1.8769000000000027</v>
      </c>
      <c r="G27" s="9">
        <f t="shared" si="7"/>
        <v>0.41100000000000037</v>
      </c>
    </row>
    <row r="28" spans="1:7" x14ac:dyDescent="0.25">
      <c r="A28" s="9">
        <v>1.9</v>
      </c>
      <c r="B28" s="9">
        <v>7.1</v>
      </c>
      <c r="C28" s="9">
        <f t="shared" si="4"/>
        <v>0.39999999999999991</v>
      </c>
      <c r="D28" s="9">
        <f t="shared" si="5"/>
        <v>1.5700000000000003</v>
      </c>
      <c r="E28" s="9">
        <f t="shared" si="6"/>
        <v>0.15999999999999992</v>
      </c>
      <c r="F28" s="9">
        <f t="shared" si="6"/>
        <v>2.464900000000001</v>
      </c>
      <c r="G28" s="9">
        <f t="shared" si="7"/>
        <v>0.628</v>
      </c>
    </row>
    <row r="29" spans="1:7" x14ac:dyDescent="0.25">
      <c r="A29" s="9">
        <v>2</v>
      </c>
      <c r="B29" s="9">
        <v>2.5</v>
      </c>
      <c r="C29" s="9">
        <f t="shared" si="4"/>
        <v>0.5</v>
      </c>
      <c r="D29" s="9">
        <f t="shared" si="5"/>
        <v>-3.0299999999999994</v>
      </c>
      <c r="E29" s="9">
        <f t="shared" si="6"/>
        <v>0.25</v>
      </c>
      <c r="F29" s="9">
        <f t="shared" si="6"/>
        <v>9.1808999999999958</v>
      </c>
      <c r="G29" s="9">
        <f t="shared" si="7"/>
        <v>-1.5149999999999997</v>
      </c>
    </row>
    <row r="30" spans="1:7" x14ac:dyDescent="0.25">
      <c r="A30" s="8" t="s">
        <v>11</v>
      </c>
      <c r="B30" s="8" t="s">
        <v>12</v>
      </c>
      <c r="C30" s="10" t="s">
        <v>13</v>
      </c>
      <c r="D30" s="11"/>
      <c r="E30" s="8" t="s">
        <v>14</v>
      </c>
      <c r="F30" s="8" t="s">
        <v>15</v>
      </c>
      <c r="G30" s="8" t="s">
        <v>16</v>
      </c>
    </row>
    <row r="31" spans="1:7" x14ac:dyDescent="0.25">
      <c r="A31" s="9">
        <f>AVERAGE(A20:A28)</f>
        <v>1.5</v>
      </c>
      <c r="B31" s="9">
        <f>AVERAGE(B20:B29)</f>
        <v>5.5299999999999994</v>
      </c>
      <c r="C31" s="12"/>
      <c r="D31" s="13"/>
      <c r="E31" s="9">
        <f>SUM(E20:E29)</f>
        <v>0.84999999999999987</v>
      </c>
      <c r="F31" s="9">
        <f>SUM(F20:F29)</f>
        <v>26.540999999999997</v>
      </c>
      <c r="G31" s="9">
        <f>SUM(G20:G29)</f>
        <v>-1.3049999999999997</v>
      </c>
    </row>
    <row r="32" spans="1:7" x14ac:dyDescent="0.25">
      <c r="A32" s="14"/>
      <c r="B32" s="15"/>
      <c r="C32" s="8" t="s">
        <v>17</v>
      </c>
      <c r="D32" s="9">
        <f>(G31/(SQRT(E31)*SQRT(F31)))</f>
        <v>-0.27475297765697559</v>
      </c>
      <c r="E32" s="14"/>
      <c r="F32" s="16"/>
      <c r="G32" s="15"/>
    </row>
  </sheetData>
  <mergeCells count="11">
    <mergeCell ref="A18:G18"/>
    <mergeCell ref="C30:D31"/>
    <mergeCell ref="A32:B32"/>
    <mergeCell ref="E32:G32"/>
    <mergeCell ref="A1:G1"/>
    <mergeCell ref="A2:G2"/>
    <mergeCell ref="A3:G3"/>
    <mergeCell ref="A5:G5"/>
    <mergeCell ref="C14:D15"/>
    <mergeCell ref="A16:B16"/>
    <mergeCell ref="E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2026-03-03T09:53:37Z</dcterms:created>
  <dcterms:modified xsi:type="dcterms:W3CDTF">2026-03-03T09:54:37Z</dcterms:modified>
</cp:coreProperties>
</file>